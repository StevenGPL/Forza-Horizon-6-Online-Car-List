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75"/>
  </bookViews>
  <sheets>
    <sheet name="car_data" sheetId="1" r:id="rId1"/>
    <sheet name="enum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<sst xmlns="http://schemas.openxmlformats.org/spreadsheetml/2006/main" count="5662" uniqueCount="2022">
  <si>
    <t>id</t>
  </si>
  <si>
    <t>en_brand_order</t>
  </si>
  <si>
    <t>zh_brand_order</t>
  </si>
  <si>
    <t>brand</t>
  </si>
  <si>
    <t>brand_internal_order</t>
  </si>
  <si>
    <t>name</t>
  </si>
  <si>
    <t>year</t>
  </si>
  <si>
    <t>how_to_get</t>
  </si>
  <si>
    <t>cr</t>
  </si>
  <si>
    <t>rarity</t>
  </si>
  <si>
    <t>country</t>
  </si>
  <si>
    <t>initial_score</t>
  </si>
  <si>
    <t>car_type_cn</t>
  </si>
  <si>
    <t>car_type_en</t>
  </si>
  <si>
    <t>Abarth 695 Biposto 2016</t>
  </si>
  <si>
    <t>Abarth</t>
  </si>
  <si>
    <t>695 Biposto 2016</t>
  </si>
  <si>
    <t>2016</t>
  </si>
  <si>
    <t>季节赛</t>
  </si>
  <si>
    <t>普通</t>
  </si>
  <si>
    <t>意大利</t>
  </si>
  <si>
    <t>B 540</t>
  </si>
  <si>
    <t>Hot Hatch</t>
  </si>
  <si>
    <t>Abarth Fiat 131 1980</t>
  </si>
  <si>
    <t>Fiat 131 1980</t>
  </si>
  <si>
    <t>1980</t>
  </si>
  <si>
    <t>车展, 抽奖</t>
  </si>
  <si>
    <t>D 399</t>
  </si>
  <si>
    <t>Classic Rally</t>
  </si>
  <si>
    <t>Abarth 595 esseesse 1968</t>
  </si>
  <si>
    <t>595 esseesse 1968</t>
  </si>
  <si>
    <t>1968</t>
  </si>
  <si>
    <t>D 100</t>
  </si>
  <si>
    <t>Cult Cars</t>
  </si>
  <si>
    <t>Acura Integra A-Spec 2023</t>
  </si>
  <si>
    <t>Acura
讴歌</t>
  </si>
  <si>
    <t>Integra A-Spec 2023</t>
  </si>
  <si>
    <t>2023</t>
  </si>
  <si>
    <t>车展, 抽奖, 二手车</t>
  </si>
  <si>
    <t>稀有</t>
  </si>
  <si>
    <t>美国</t>
  </si>
  <si>
    <t>C 484</t>
  </si>
  <si>
    <t>Acura NSX Type S 2022</t>
  </si>
  <si>
    <t>NSX Type S 2022</t>
  </si>
  <si>
    <t>2022</t>
  </si>
  <si>
    <t>剧情：蓝色腕带</t>
  </si>
  <si>
    <t>史诗</t>
  </si>
  <si>
    <t>S1 734</t>
  </si>
  <si>
    <t>Modern Super cars</t>
  </si>
  <si>
    <t>Acura RSX Type S 2002</t>
  </si>
  <si>
    <t>RSX Type S 2002</t>
  </si>
  <si>
    <t>2002</t>
  </si>
  <si>
    <t>C 462</t>
  </si>
  <si>
    <t>Retro Hot Hatch</t>
  </si>
  <si>
    <t>Acura Integra Type R 2001</t>
  </si>
  <si>
    <t>Integra Type R 2001</t>
  </si>
  <si>
    <t>2001</t>
  </si>
  <si>
    <t>C 471</t>
  </si>
  <si>
    <t>Alfa Romeo Giulia GTAm 2021</t>
  </si>
  <si>
    <t>Alfa Romeo
阿尔法·罗密欧</t>
  </si>
  <si>
    <t>Giulia GTAm 2021</t>
  </si>
  <si>
    <t>2021</t>
  </si>
  <si>
    <t>车展 (DLC: Italian Passion Car Pack )</t>
  </si>
  <si>
    <t>?</t>
  </si>
  <si>
    <t>Modern Super Saloons</t>
  </si>
  <si>
    <t>Alfa Romeo Giulia Quadrifoglio 2017</t>
  </si>
  <si>
    <t>Giulia Quadrifoglio 2017</t>
  </si>
  <si>
    <t>2017</t>
  </si>
  <si>
    <t>A 667</t>
  </si>
  <si>
    <t>Alfa Romeo 4C 2014</t>
  </si>
  <si>
    <t>4C 2014</t>
  </si>
  <si>
    <t>2014</t>
  </si>
  <si>
    <t>车展</t>
  </si>
  <si>
    <t>A 644</t>
  </si>
  <si>
    <t>Modern Sports Cars</t>
  </si>
  <si>
    <t>Alfa Romeo 8C Competizione 2007</t>
  </si>
  <si>
    <t>8C Competizione 2007</t>
  </si>
  <si>
    <t>2007</t>
  </si>
  <si>
    <t>A 635</t>
  </si>
  <si>
    <t>GT Cars</t>
  </si>
  <si>
    <t>Alfa Romeo 155 Q4 1992</t>
  </si>
  <si>
    <t>155 Q4 1992</t>
  </si>
  <si>
    <t>1992</t>
  </si>
  <si>
    <t>C 439</t>
  </si>
  <si>
    <t>Retro Super Saloons</t>
  </si>
  <si>
    <t>Alfa Romeo SE 048SP 1990</t>
  </si>
  <si>
    <t>SE 048SP 1990</t>
  </si>
  <si>
    <t>1990</t>
  </si>
  <si>
    <t>Retro Racers</t>
  </si>
  <si>
    <t>Alfa Romeo 33 Stradale 1968</t>
  </si>
  <si>
    <t>33 Stradale 1968</t>
  </si>
  <si>
    <t>传奇</t>
  </si>
  <si>
    <t>B 593</t>
  </si>
  <si>
    <t>Classic Racers</t>
  </si>
  <si>
    <t>Alfa Romeo Giulia TZ2 1965</t>
  </si>
  <si>
    <t>Giulia TZ2 1965</t>
  </si>
  <si>
    <t>1965</t>
  </si>
  <si>
    <t>Earn 4,500 points in the "Horizon Promo" category in the Collection Journal</t>
  </si>
  <si>
    <t>B 532</t>
  </si>
  <si>
    <t>Alfa Romeo Giulia Sprint GTA Stradale 1965</t>
  </si>
  <si>
    <t>Giulia Sprint GTA Stradale 1965</t>
  </si>
  <si>
    <t>D 379</t>
  </si>
  <si>
    <t>Rare Classics</t>
  </si>
  <si>
    <t>Alumicraft #6165 Trick Truck 2022</t>
  </si>
  <si>
    <t>Alumicraft</t>
  </si>
  <si>
    <t>#6165 Trick Truck 2022</t>
  </si>
  <si>
    <t>C 485</t>
  </si>
  <si>
    <t>Unlimited Offroad</t>
  </si>
  <si>
    <t>Alumicraft #122 Class 1 Buggy 2021</t>
  </si>
  <si>
    <t>#122 Class 1 Buggy 2021</t>
  </si>
  <si>
    <t>B 571</t>
  </si>
  <si>
    <t>Unlimited Buggies</t>
  </si>
  <si>
    <t>Alumicraft Class 10 Race Car 2015</t>
  </si>
  <si>
    <t>Class 10 Race Car 2015</t>
  </si>
  <si>
    <t>2015</t>
  </si>
  <si>
    <t>AMG Transport Dynamics M12S Warthog CST 2554</t>
  </si>
  <si>
    <t>AMG Transport Dynamics</t>
  </si>
  <si>
    <t>M12S Warthog CST 2554</t>
  </si>
  <si>
    <t>车展, Earn 1,500 points in the "Danger Signs" category in the Collection Journal</t>
  </si>
  <si>
    <t>A 663</t>
  </si>
  <si>
    <t>Apollo Intensa Emozione 2019</t>
  </si>
  <si>
    <t>Apollo</t>
  </si>
  <si>
    <t>Intensa Emozione 2019</t>
  </si>
  <si>
    <t>2019</t>
  </si>
  <si>
    <t>抽奖</t>
  </si>
  <si>
    <t>德国</t>
  </si>
  <si>
    <t>R 916</t>
  </si>
  <si>
    <t>Extreme Track Toys</t>
  </si>
  <si>
    <t>Ariel Nomad 2016</t>
  </si>
  <si>
    <t>Ariel</t>
  </si>
  <si>
    <t>Nomad 2016</t>
  </si>
  <si>
    <t>车展, 抽奖, Earn 100 points in the "Bonus Boards" category in the Collection Journal</t>
  </si>
  <si>
    <t>英国</t>
  </si>
  <si>
    <t>A 601</t>
  </si>
  <si>
    <t>Ariel Atom 500 V8 2013</t>
  </si>
  <si>
    <t>Atom 500 V8 2013</t>
  </si>
  <si>
    <t>2013</t>
  </si>
  <si>
    <t>S2 825</t>
  </si>
  <si>
    <t>Aston Martin Valkyrie 2023</t>
  </si>
  <si>
    <t>Aston Martin
阿斯顿马丁</t>
  </si>
  <si>
    <t>Valkyrie 2023</t>
  </si>
  <si>
    <t>R 925</t>
  </si>
  <si>
    <t>Hypercars</t>
  </si>
  <si>
    <t>Aston Martin Valkyrie AMR Pro 2022</t>
  </si>
  <si>
    <t>Valkyrie AMR Pro 2022</t>
  </si>
  <si>
    <t>车展, 抽奖, Earn 2,500 points in the "Horizon Legend" category in the Collection Journal</t>
  </si>
  <si>
    <t>R 989</t>
  </si>
  <si>
    <t>Aston Martin DBX 2021</t>
  </si>
  <si>
    <t>DBX 2021</t>
  </si>
  <si>
    <t>A 618</t>
  </si>
  <si>
    <t>Sports Utility Heroes</t>
  </si>
  <si>
    <t>Aston Martin Valhalla Concept Car 2019</t>
  </si>
  <si>
    <t>Valhalla Concept Car 2019</t>
  </si>
  <si>
    <t>R 960</t>
  </si>
  <si>
    <t>Aston Martin DBS Superleggera 2019</t>
  </si>
  <si>
    <t>DBS Superleggera 2019</t>
  </si>
  <si>
    <t>S1 736</t>
  </si>
  <si>
    <t>Super GT</t>
  </si>
  <si>
    <t>Aston Martin Vantage 2019</t>
  </si>
  <si>
    <t>Vantage 2019</t>
  </si>
  <si>
    <t>A 696</t>
  </si>
  <si>
    <t>Aston Martin Vulcan AMR Pro 2017</t>
  </si>
  <si>
    <t>Vulcan AMR Pro 2017</t>
  </si>
  <si>
    <t>S2 898</t>
  </si>
  <si>
    <t>Aston Martin DB11 2017</t>
  </si>
  <si>
    <t>DB11 2017</t>
  </si>
  <si>
    <t>A 679</t>
  </si>
  <si>
    <t>Aston Martin Vulcan 2016</t>
  </si>
  <si>
    <t>Vulcan 2016</t>
  </si>
  <si>
    <t>车展, 抽奖, Loyalty Reward</t>
  </si>
  <si>
    <t>S2 884</t>
  </si>
  <si>
    <t>Aston Martin DB5 1964</t>
  </si>
  <si>
    <t>DB5 1964</t>
  </si>
  <si>
    <t>1964</t>
  </si>
  <si>
    <t>C 417</t>
  </si>
  <si>
    <t>Audi R8 Coupé V10 GT RWD 2023</t>
  </si>
  <si>
    <t>Audi
奥迪</t>
  </si>
  <si>
    <t>R8 Coupé V10 GT RWD 2023</t>
  </si>
  <si>
    <t>车展 (DLC: Car Pass )</t>
  </si>
  <si>
    <t>S1 769</t>
  </si>
  <si>
    <t>Audi RS e-tron GT 2021</t>
  </si>
  <si>
    <t>RS e-tron GT 2021</t>
  </si>
  <si>
    <t>A 677</t>
  </si>
  <si>
    <t>Audi RS 7 Sportback 2021</t>
  </si>
  <si>
    <t>RS 7 Sportback 2021</t>
  </si>
  <si>
    <t>A 655</t>
  </si>
  <si>
    <t>Audi RS 6 Avant 2021</t>
  </si>
  <si>
    <t>RS 6 Avant 2021</t>
  </si>
  <si>
    <t>A 650</t>
  </si>
  <si>
    <t>Audi R8 V10 performance 2020</t>
  </si>
  <si>
    <t>R8 V10 performance 2020</t>
  </si>
  <si>
    <t>2020</t>
  </si>
  <si>
    <t>S1 738</t>
  </si>
  <si>
    <t>Audi RS 3 Sedan 2020</t>
  </si>
  <si>
    <t>RS 3 Sedan 2020</t>
  </si>
  <si>
    <t>A 617</t>
  </si>
  <si>
    <t>Audi RS 4 Avant 2018</t>
  </si>
  <si>
    <t>RS 4 Avant 2018</t>
  </si>
  <si>
    <t>2018</t>
  </si>
  <si>
    <t>A 637</t>
  </si>
  <si>
    <t>Audi R8 V10 plus 2016</t>
  </si>
  <si>
    <t>R8 V10 plus 2016</t>
  </si>
  <si>
    <t>S1 731</t>
  </si>
  <si>
    <t>Audi RS 6 Avant 2015</t>
  </si>
  <si>
    <t>RS 6 Avant 2015</t>
  </si>
  <si>
    <t>A 640</t>
  </si>
  <si>
    <t>Audi S1 2015</t>
  </si>
  <si>
    <t>S1 2015</t>
  </si>
  <si>
    <t>B 527</t>
  </si>
  <si>
    <t>Audi R8 Coupé V10 plus 5.2 FSI quattro 2013</t>
  </si>
  <si>
    <t>R8 Coupé V10 plus 5.2 FSI quattro 2013</t>
  </si>
  <si>
    <t>Earn 2,700 points in the "Day Trips" category in the Collection Journal</t>
  </si>
  <si>
    <t>A 694</t>
  </si>
  <si>
    <t>Audi RS 7 Sportback 2013</t>
  </si>
  <si>
    <t>RS 7 Sportback 2013</t>
  </si>
  <si>
    <t>A 620</t>
  </si>
  <si>
    <t>Audi RS 4 Avant 2013</t>
  </si>
  <si>
    <t>RS 4 Avant 2013</t>
  </si>
  <si>
    <t>A 607</t>
  </si>
  <si>
    <t>Audi RS 5 Coupé 2011</t>
  </si>
  <si>
    <t>RS 5 Coupé 2011</t>
  </si>
  <si>
    <t>2011</t>
  </si>
  <si>
    <t>A 613</t>
  </si>
  <si>
    <t>Audi RS 3 Sportback 2011</t>
  </si>
  <si>
    <t>RS 3 Sportback 2011</t>
  </si>
  <si>
    <t>B 565</t>
  </si>
  <si>
    <t>Super Hot Hatch</t>
  </si>
  <si>
    <t>Audi TT RS Coupé 2010</t>
  </si>
  <si>
    <t>TT RS Coupé 2010</t>
  </si>
  <si>
    <t>2010</t>
  </si>
  <si>
    <t>Audi R8 LMS 2009</t>
  </si>
  <si>
    <t>R8 LMS 2009</t>
  </si>
  <si>
    <t>2009</t>
  </si>
  <si>
    <t>S2 810</t>
  </si>
  <si>
    <t>Audi RS 6 2009</t>
  </si>
  <si>
    <t>RS 6 2009</t>
  </si>
  <si>
    <t>B 598</t>
  </si>
  <si>
    <t>Audi RS 4 2006</t>
  </si>
  <si>
    <t>RS 4 2006</t>
  </si>
  <si>
    <t>2006</t>
  </si>
  <si>
    <t>Audi RS 6 2003</t>
  </si>
  <si>
    <t>RS 6 2003</t>
  </si>
  <si>
    <t>2003</t>
  </si>
  <si>
    <t>B 556</t>
  </si>
  <si>
    <t>Audi RS 4 Avant 2001</t>
  </si>
  <si>
    <t>RS 4 Avant 2001</t>
  </si>
  <si>
    <t>B 544</t>
  </si>
  <si>
    <t>Audi #2 Audi Sport quattro S1 1986</t>
  </si>
  <si>
    <t>#2 Audi Sport quattro S1 1986</t>
  </si>
  <si>
    <t>1986</t>
  </si>
  <si>
    <t>S1 726</t>
  </si>
  <si>
    <t>Rally Monsters</t>
  </si>
  <si>
    <t>Audi Sport quattro 1983</t>
  </si>
  <si>
    <t>Sport quattro 1983</t>
  </si>
  <si>
    <t>1983</t>
  </si>
  <si>
    <t>B 526</t>
  </si>
  <si>
    <t>Retro Rally</t>
  </si>
  <si>
    <t>Austin-Healey 3000 MkIII 1965</t>
  </si>
  <si>
    <t>Austin-Healey</t>
  </si>
  <si>
    <t>3000 MkIII 1965</t>
  </si>
  <si>
    <t>D 352</t>
  </si>
  <si>
    <t>Classic Sports Cars</t>
  </si>
  <si>
    <t>Autozam AZ-1 1993</t>
  </si>
  <si>
    <t>Autozam</t>
  </si>
  <si>
    <t>AZ-1 1993</t>
  </si>
  <si>
    <t>1993</t>
  </si>
  <si>
    <t>日本</t>
  </si>
  <si>
    <t>D 342</t>
  </si>
  <si>
    <t>Eclectic Domestics</t>
  </si>
  <si>
    <t>BAC Mono 2014</t>
  </si>
  <si>
    <t>BAC</t>
  </si>
  <si>
    <t>Mono 2014</t>
  </si>
  <si>
    <t>S1 766</t>
  </si>
  <si>
    <t>Track Toys</t>
  </si>
  <si>
    <t>Bentley Continental GT Convertible 2021</t>
  </si>
  <si>
    <t>Bentley
宾利</t>
  </si>
  <si>
    <t>Continental GT Convertible 2021</t>
  </si>
  <si>
    <t>车展, 抽奖, Earn 1,200 points in the "Car Collection" category in the Collection Journal</t>
  </si>
  <si>
    <t>A 649</t>
  </si>
  <si>
    <t>Bentley Bentayga 2016</t>
  </si>
  <si>
    <t>Bentayga 2016</t>
  </si>
  <si>
    <t>A 612</t>
  </si>
  <si>
    <t>BMW X6 M Competition 2024</t>
  </si>
  <si>
    <t>BMW
宝马</t>
  </si>
  <si>
    <t>X6 M Competition 2024</t>
  </si>
  <si>
    <t>2024</t>
  </si>
  <si>
    <t>A 672</t>
  </si>
  <si>
    <t>BMW M2 Forza Edition 2023</t>
  </si>
  <si>
    <t>M2 Forza Edition 2023</t>
  </si>
  <si>
    <t>Earn 5,000 points in the "Horizon Legend" category in the Collection Journal</t>
  </si>
  <si>
    <t>极限竞速特别版</t>
  </si>
  <si>
    <t>A 700</t>
  </si>
  <si>
    <t>BMW M2 2023</t>
  </si>
  <si>
    <t>M2 2023</t>
  </si>
  <si>
    <t>A 647</t>
  </si>
  <si>
    <t>BMW M5 CS 2022</t>
  </si>
  <si>
    <t>M5 CS 2022</t>
  </si>
  <si>
    <t>S1 730</t>
  </si>
  <si>
    <t>BMW iX xDrive50 2022</t>
  </si>
  <si>
    <t>iX xDrive50 2022</t>
  </si>
  <si>
    <t>B 595</t>
  </si>
  <si>
    <t>BMW M4 Competition Coupé 'Welcome Pack' 2021</t>
  </si>
  <si>
    <t>M4 Competition Coupé 'Welcome Pack' 2021</t>
  </si>
  <si>
    <t>车展 (DLC: Welcome Pack )</t>
  </si>
  <si>
    <t>S1 800</t>
  </si>
  <si>
    <t>BMW M4 Competition Coupé 2021</t>
  </si>
  <si>
    <t>M4 Competition Coupé 2021</t>
  </si>
  <si>
    <t>A 666</t>
  </si>
  <si>
    <t>BMW M8 Competition Coupé 2020</t>
  </si>
  <si>
    <t>M8 Competition Coupé 2020</t>
  </si>
  <si>
    <t>A 684</t>
  </si>
  <si>
    <t>BMW M2 Competition Coupé 2020</t>
  </si>
  <si>
    <t>M2 Competition Coupé 2020</t>
  </si>
  <si>
    <t>抽奖, 剧情：黄色腕带</t>
  </si>
  <si>
    <t>A 656</t>
  </si>
  <si>
    <t>BMW Z4 Roadster 2019</t>
  </si>
  <si>
    <t>Z4 Roadster 2019</t>
  </si>
  <si>
    <t>车展, 抽奖, Earn 200 points in the "Speed Zones" category in the Collection Journal</t>
  </si>
  <si>
    <t>A 634</t>
  </si>
  <si>
    <t>BMW M4 GTS 2016</t>
  </si>
  <si>
    <t>M4 GTS 2016</t>
  </si>
  <si>
    <t>S1 711</t>
  </si>
  <si>
    <t>BMW i8 2015</t>
  </si>
  <si>
    <t>i8 2015</t>
  </si>
  <si>
    <t>A 665</t>
  </si>
  <si>
    <t>BMW M4 Coupé 2014</t>
  </si>
  <si>
    <t>M4 Coupé 2014</t>
  </si>
  <si>
    <t>BMW M5 2012</t>
  </si>
  <si>
    <t>M5 2012</t>
  </si>
  <si>
    <t>2012</t>
  </si>
  <si>
    <t>A 652</t>
  </si>
  <si>
    <t>BMW X5 M 2011</t>
  </si>
  <si>
    <t>X5 M 2011</t>
  </si>
  <si>
    <t>B 546</t>
  </si>
  <si>
    <t>BMW M3 GTS 2010</t>
  </si>
  <si>
    <t>M3 GTS 2010</t>
  </si>
  <si>
    <t>A 678</t>
  </si>
  <si>
    <t>BMW M5 2009</t>
  </si>
  <si>
    <t>M5 2009</t>
  </si>
  <si>
    <t>BMW M3 2008</t>
  </si>
  <si>
    <t>M3 2008</t>
  </si>
  <si>
    <t>2008</t>
  </si>
  <si>
    <t>A 608</t>
  </si>
  <si>
    <t>BMW Z4 M Coupé 2008</t>
  </si>
  <si>
    <t>Z4 M Coupé 2008</t>
  </si>
  <si>
    <t>B 579</t>
  </si>
  <si>
    <t>BMW M3 2005</t>
  </si>
  <si>
    <t>M3 2005</t>
  </si>
  <si>
    <t>2005</t>
  </si>
  <si>
    <t>B 554</t>
  </si>
  <si>
    <t>BMW M5 2003</t>
  </si>
  <si>
    <t>M5 2003</t>
  </si>
  <si>
    <t>B 580</t>
  </si>
  <si>
    <t>BMW M3 1997</t>
  </si>
  <si>
    <t>M3 1997</t>
  </si>
  <si>
    <t>1997</t>
  </si>
  <si>
    <t>B 549</t>
  </si>
  <si>
    <t>BMW M5 1995</t>
  </si>
  <si>
    <t>M5 1995</t>
  </si>
  <si>
    <t>1995</t>
  </si>
  <si>
    <t>B 516</t>
  </si>
  <si>
    <t>BMW 850CSi 1995</t>
  </si>
  <si>
    <t>850CSi 1995</t>
  </si>
  <si>
    <t>C 493</t>
  </si>
  <si>
    <t>Retro Sports Cars</t>
  </si>
  <si>
    <t>BMW M3 1988</t>
  </si>
  <si>
    <t>M3 1988</t>
  </si>
  <si>
    <t>1988</t>
  </si>
  <si>
    <t>C 474</t>
  </si>
  <si>
    <t>BMW M5 1988</t>
  </si>
  <si>
    <t>M5 1988</t>
  </si>
  <si>
    <t>C 469</t>
  </si>
  <si>
    <t>BMW M1 1981</t>
  </si>
  <si>
    <t>M1 1981</t>
  </si>
  <si>
    <t>1981</t>
  </si>
  <si>
    <t>密藏座驾: North Hokubu</t>
  </si>
  <si>
    <t>TREASURE CAR</t>
  </si>
  <si>
    <t>B 510</t>
  </si>
  <si>
    <t>Retro Super cars</t>
  </si>
  <si>
    <t>BMW 2002 Turbo 1973</t>
  </si>
  <si>
    <t>2002 Turbo 1973</t>
  </si>
  <si>
    <t>1973</t>
  </si>
  <si>
    <t>C 425</t>
  </si>
  <si>
    <t>BMW Isetta 300 Export 1957</t>
  </si>
  <si>
    <t>Isetta 300 Export 1957</t>
  </si>
  <si>
    <t>1957</t>
  </si>
  <si>
    <t>Buick Regal GNX 1987</t>
  </si>
  <si>
    <t>Buick
别克</t>
  </si>
  <si>
    <t>Regal GNX 1987</t>
  </si>
  <si>
    <t>1987</t>
  </si>
  <si>
    <t>C 454</t>
  </si>
  <si>
    <t>Retro Muscle</t>
  </si>
  <si>
    <t>Cadillac CT5-V Blackwing 2022</t>
  </si>
  <si>
    <t>Cadillac
凯迪拉克</t>
  </si>
  <si>
    <t>CT5-V Blackwing 2022</t>
  </si>
  <si>
    <t>S1 701</t>
  </si>
  <si>
    <t>Modern Muscle</t>
  </si>
  <si>
    <t>Cadillac CT4-V Blackwing 2022</t>
  </si>
  <si>
    <t>CT4-V Blackwing 2022</t>
  </si>
  <si>
    <t>Cadillac CTS-V Sedan 2016</t>
  </si>
  <si>
    <t>CTS-V Sedan 2016</t>
  </si>
  <si>
    <t>A 648</t>
  </si>
  <si>
    <t>Cadillac ATS-V 2016</t>
  </si>
  <si>
    <t>ATS-V 2016</t>
  </si>
  <si>
    <t>Cadillac XTS Limousine 2013</t>
  </si>
  <si>
    <t>XTS Limousine 2013</t>
  </si>
  <si>
    <t>D 381</t>
  </si>
  <si>
    <t>Can-Am Maverick X RS Turbo R 2018</t>
  </si>
  <si>
    <t>Can-Am</t>
  </si>
  <si>
    <t>Maverick X RS Turbo R 2018</t>
  </si>
  <si>
    <t>Canada</t>
  </si>
  <si>
    <t>B 568</t>
  </si>
  <si>
    <t>UTV's</t>
  </si>
  <si>
    <t>Casey Currie Motorsports #4402 Ultra 4 'Trophy Jeep' 2019</t>
  </si>
  <si>
    <t>Casey Currie Motorsports</t>
  </si>
  <si>
    <t>#4402 Ultra 4 'Trophy Jeep' 2019</t>
  </si>
  <si>
    <t>A 641</t>
  </si>
  <si>
    <t>Chevrolet Corvette E-Ray 2024</t>
  </si>
  <si>
    <t>Chevrolet
雪佛兰</t>
  </si>
  <si>
    <t>Corvette E-Ray 2024</t>
  </si>
  <si>
    <t>S1 737</t>
  </si>
  <si>
    <t>Chevrolet Corvette Z06 2023</t>
  </si>
  <si>
    <t>Corvette Z06 2023</t>
  </si>
  <si>
    <t>S1 763</t>
  </si>
  <si>
    <t>Chevrolet Corvette Stingray Coupe 2020</t>
  </si>
  <si>
    <t>Corvette Stingray Coupe 2020</t>
  </si>
  <si>
    <t>A 699</t>
  </si>
  <si>
    <t>Chevrolet Silverado LT Trail Boss 2020</t>
  </si>
  <si>
    <t>Silverado LT Trail Boss 2020</t>
  </si>
  <si>
    <t>C 449</t>
  </si>
  <si>
    <t>Pickups &amp; 4x4's</t>
  </si>
  <si>
    <t>Chevrolet Corvette ZR1 2019</t>
  </si>
  <si>
    <t>Corvette ZR1 2019</t>
  </si>
  <si>
    <t>S1 778</t>
  </si>
  <si>
    <t>Chevrolet Camaro ZL1 1LE 2018</t>
  </si>
  <si>
    <t>Camaro ZL1 1LE 2018</t>
  </si>
  <si>
    <t>S1 728</t>
  </si>
  <si>
    <t>Chevrolet Camaro ZL1 2017</t>
  </si>
  <si>
    <t>Camaro ZL1 2017</t>
  </si>
  <si>
    <t>S1 727</t>
  </si>
  <si>
    <t>Chevrolet Corvette Z06 2015</t>
  </si>
  <si>
    <t>Corvette Z06 2015</t>
  </si>
  <si>
    <t>S1 755</t>
  </si>
  <si>
    <t>Chevrolet Camaro Z/28 2015</t>
  </si>
  <si>
    <t>Camaro Z/28 2015</t>
  </si>
  <si>
    <t>A 695</t>
  </si>
  <si>
    <t>Chevrolet Corvette ZR1 2009</t>
  </si>
  <si>
    <t>Corvette ZR1 2009</t>
  </si>
  <si>
    <t>S1 712</t>
  </si>
  <si>
    <t>Chevrolet Corvette Z06 2002</t>
  </si>
  <si>
    <t>Corvette Z06 2002</t>
  </si>
  <si>
    <t>A 602</t>
  </si>
  <si>
    <t>Chevrolet Impala Super Sport 1996</t>
  </si>
  <si>
    <t>Impala Super Sport 1996</t>
  </si>
  <si>
    <t>1996</t>
  </si>
  <si>
    <t>C 407</t>
  </si>
  <si>
    <t>Chevrolet Corvette ZR-1 1995</t>
  </si>
  <si>
    <t>Corvette ZR-1 1995</t>
  </si>
  <si>
    <t>B 576</t>
  </si>
  <si>
    <t>Chevrolet Monte Carlo Super Sport 1988</t>
  </si>
  <si>
    <t>Monte Carlo Super Sport 1988</t>
  </si>
  <si>
    <t>D 282</t>
  </si>
  <si>
    <t>Chevrolet Camaro Z28 1979</t>
  </si>
  <si>
    <t>Camaro Z28 1979</t>
  </si>
  <si>
    <t>1979</t>
  </si>
  <si>
    <t>D 364</t>
  </si>
  <si>
    <t>Classic Muscle</t>
  </si>
  <si>
    <t>Chevrolet K-10 Custom 1972</t>
  </si>
  <si>
    <t>K-10 Custom 1972</t>
  </si>
  <si>
    <t>1972</t>
  </si>
  <si>
    <t>D 268</t>
  </si>
  <si>
    <t>Chevrolet Corvette ZR-1 1970</t>
  </si>
  <si>
    <t>Corvette ZR-1 1970</t>
  </si>
  <si>
    <t>1970</t>
  </si>
  <si>
    <t>C 497</t>
  </si>
  <si>
    <t>Chevrolet El Camino Super Sport 454 1970</t>
  </si>
  <si>
    <t>El Camino Super Sport 454 1970</t>
  </si>
  <si>
    <t>C 430</t>
  </si>
  <si>
    <t>Utility Heroes</t>
  </si>
  <si>
    <t>Chevrolet Camaro Z28 1970</t>
  </si>
  <si>
    <t>Camaro Z28 1970</t>
  </si>
  <si>
    <t>Chevrolet Chevelle Super Sport 454 1970</t>
  </si>
  <si>
    <t>Chevelle Super Sport 454 1970</t>
  </si>
  <si>
    <t>C 424</t>
  </si>
  <si>
    <t>Chevrolet Camaro Super Sport Coupe 1969</t>
  </si>
  <si>
    <t>Camaro Super Sport Coupe 1969</t>
  </si>
  <si>
    <t>1969</t>
  </si>
  <si>
    <t>Chevrolet Nova Super Sport 396 1969</t>
  </si>
  <si>
    <t>Nova Super Sport 396 1969</t>
  </si>
  <si>
    <t>C 431</t>
  </si>
  <si>
    <t>Chevrolet Corvette Stingray 427 1967</t>
  </si>
  <si>
    <t>Corvette Stingray 427 1967</t>
  </si>
  <si>
    <t>1967</t>
  </si>
  <si>
    <t>车辆熟练度奖励: Chevrolet Corvette Stingray Coupe</t>
  </si>
  <si>
    <t>Chevrolet Impala Super Sport 409 1964</t>
  </si>
  <si>
    <t>Impala Super Sport 409 1964</t>
  </si>
  <si>
    <t>C 427</t>
  </si>
  <si>
    <t>Rods &amp; Customs</t>
  </si>
  <si>
    <t>Chevrolet Corvette 1960</t>
  </si>
  <si>
    <t>Corvette 1960</t>
  </si>
  <si>
    <t>1960</t>
  </si>
  <si>
    <t>C 428</t>
  </si>
  <si>
    <t>Chevrolet Bel Air 1957</t>
  </si>
  <si>
    <t>Bel Air 1957</t>
  </si>
  <si>
    <t>D 320</t>
  </si>
  <si>
    <t>Chevrolet 150 Utility Sedan 1955</t>
  </si>
  <si>
    <t>150 Utility Sedan 1955</t>
  </si>
  <si>
    <t>1955</t>
  </si>
  <si>
    <t>D 221</t>
  </si>
  <si>
    <t>Chevrolet Corvette 1953</t>
  </si>
  <si>
    <t>Corvette 1953</t>
  </si>
  <si>
    <t>1953</t>
  </si>
  <si>
    <t>D 270</t>
  </si>
  <si>
    <t>Datsun #269 Attacking The Clock Racing 240Z Time Attack 1972</t>
  </si>
  <si>
    <t>Datsun
达特桑</t>
  </si>
  <si>
    <t>#269 Attacking The Clock Racing 240Z Time Attack 1972</t>
  </si>
  <si>
    <t>R 951</t>
  </si>
  <si>
    <t>Datsun 510 1970</t>
  </si>
  <si>
    <t>510 1970</t>
  </si>
  <si>
    <t>D 143</t>
  </si>
  <si>
    <t>Datsun 2000 Roadster 1969</t>
  </si>
  <si>
    <t>2000 Roadster 1969</t>
  </si>
  <si>
    <t>D 323</t>
  </si>
  <si>
    <t>DeBerti Toyota Tacoma TRD 'The Performance Truck' 2019</t>
  </si>
  <si>
    <t>DeBerti</t>
  </si>
  <si>
    <t>Toyota Tacoma TRD 'The Performance Truck' 2019</t>
  </si>
  <si>
    <t>S1 717</t>
  </si>
  <si>
    <t>Drift Cars</t>
  </si>
  <si>
    <t>DeBerti Ford Super Duty F-250 Lariat 'Transformer' 2019</t>
  </si>
  <si>
    <t>Ford Super Duty F-250 Lariat 'Transformer' 2019</t>
  </si>
  <si>
    <t>B 548</t>
  </si>
  <si>
    <t>DeBerti Chevrolet Silverado 1500 Drift Truck 2018</t>
  </si>
  <si>
    <t>Chevrolet Silverado 1500 Drift Truck 2018</t>
  </si>
  <si>
    <t>S1 707</t>
  </si>
  <si>
    <t>DeBerti Wrangler Unlimited 2013</t>
  </si>
  <si>
    <t>Jeep Wrangler Unlimited 2018</t>
  </si>
  <si>
    <t>A 645</t>
  </si>
  <si>
    <t>DeLorean DMC-12 1982</t>
  </si>
  <si>
    <t>DeLorean</t>
  </si>
  <si>
    <t>DMC-12 1982</t>
  </si>
  <si>
    <t>1982</t>
  </si>
  <si>
    <t>D 357</t>
  </si>
  <si>
    <t>Dodge Challenger SRT Super Stock 2022</t>
  </si>
  <si>
    <t>Dodge
道奇</t>
  </si>
  <si>
    <t>Challenger SRT Super Stock 2022</t>
  </si>
  <si>
    <t>Dodge Durango SRT Hellcat 2021</t>
  </si>
  <si>
    <t>Durango SRT Hellcat 2021</t>
  </si>
  <si>
    <t>Earn 1,400 points in the "Day Trips" category in the Collection Journal</t>
  </si>
  <si>
    <t>A 628</t>
  </si>
  <si>
    <t>Dodge Challenger SRT Demon 2018</t>
  </si>
  <si>
    <t>Challenger SRT Demon 2018</t>
  </si>
  <si>
    <t>车展, 抽奖, 二手车, Earn 250 points in "Horizon Promo" category in the Collection Journal</t>
  </si>
  <si>
    <t>Dodge Viper ACR 2016</t>
  </si>
  <si>
    <t>Viper ACR 2016</t>
  </si>
  <si>
    <t>S1 786</t>
  </si>
  <si>
    <t>Dodge Charger SRT Hellcat 2015</t>
  </si>
  <si>
    <t>Charger SRT Hellcat 2015</t>
  </si>
  <si>
    <t>Dodge Challenger SRT Hellcat 2015</t>
  </si>
  <si>
    <t>Challenger SRT Hellcat 2015</t>
  </si>
  <si>
    <t>A 631</t>
  </si>
  <si>
    <t>Dodge Viper SRT-10 ACR 2008</t>
  </si>
  <si>
    <t>Viper SRT-10 ACR 2008</t>
  </si>
  <si>
    <t>S1 735</t>
  </si>
  <si>
    <t>Dodge Ram SRT-10 2006</t>
  </si>
  <si>
    <t>Ram SRT-10 2006</t>
  </si>
  <si>
    <t>B 547</t>
  </si>
  <si>
    <t>Dodge Viper GTS ACR Forza Edition 1999</t>
  </si>
  <si>
    <t>Viper GTS ACR Forza Edition 1999</t>
  </si>
  <si>
    <t>1999</t>
  </si>
  <si>
    <t>Gifted (DLC: VIP Membership )</t>
  </si>
  <si>
    <t>Dodge Viper GTS ACR 1999</t>
  </si>
  <si>
    <t>Viper GTS ACR 1999</t>
  </si>
  <si>
    <t>Dodge Coronet Super Bee 1970</t>
  </si>
  <si>
    <t>Coronet Super Bee 1970</t>
  </si>
  <si>
    <t>C 455</t>
  </si>
  <si>
    <t>Dodge Challenger R/T 1970</t>
  </si>
  <si>
    <t>Challenger R/T 1970</t>
  </si>
  <si>
    <t>C 443</t>
  </si>
  <si>
    <t>Dodge Charger Daytona HEMI 1969</t>
  </si>
  <si>
    <t>Charger Daytona HEMI 1969</t>
  </si>
  <si>
    <t>车展, 抽奖, Earn 1,500 points in the "Car Collection" category in the Collection Journal</t>
  </si>
  <si>
    <t>C 479</t>
  </si>
  <si>
    <t>Dodge Charger R/T 1969</t>
  </si>
  <si>
    <t>Charger R/T 1969</t>
  </si>
  <si>
    <t>密藏座驾: Central Minamino</t>
  </si>
  <si>
    <t>Dodge Dart HEMI Super Stock 1968</t>
  </si>
  <si>
    <t>Dart HEMI Super Stock 1968</t>
  </si>
  <si>
    <t>Ferrari F80 2025</t>
  </si>
  <si>
    <t>Ferrari
法拉利</t>
  </si>
  <si>
    <t>F80 2025</t>
  </si>
  <si>
    <t>2025</t>
  </si>
  <si>
    <t xml:space="preserve"> </t>
  </si>
  <si>
    <t>Ferrari 296 GTB 2022</t>
  </si>
  <si>
    <t>296 GTB 2022</t>
  </si>
  <si>
    <t>S2 811</t>
  </si>
  <si>
    <t>Ferrari SF90 Stradale 2020</t>
  </si>
  <si>
    <t>SF90 Stradale 2020</t>
  </si>
  <si>
    <t>S2 851</t>
  </si>
  <si>
    <t>Ferrari Roma 2020</t>
  </si>
  <si>
    <t>Roma 2020</t>
  </si>
  <si>
    <t>Ferrari 488 Pista 2019</t>
  </si>
  <si>
    <t>488 Pista 2019</t>
  </si>
  <si>
    <t>S2 803</t>
  </si>
  <si>
    <t>Ferrari F8 Tributo 2019</t>
  </si>
  <si>
    <t>F8 Tributo 2019</t>
  </si>
  <si>
    <t>S2 802</t>
  </si>
  <si>
    <t>Ferrari Monza SP2 2019</t>
  </si>
  <si>
    <t>Monza SP2 2019</t>
  </si>
  <si>
    <t>S1 773</t>
  </si>
  <si>
    <t>Ferrari FXX-K Evo 'Welcome Pack' 2018</t>
  </si>
  <si>
    <t>FXX-K Evo 'Welcome Pack' 2018</t>
  </si>
  <si>
    <t>R 998</t>
  </si>
  <si>
    <t>Ferrari FXX-K Evo 2018</t>
  </si>
  <si>
    <t>FXX-K Evo 2018</t>
  </si>
  <si>
    <t>R 957</t>
  </si>
  <si>
    <t>Ferrari Portofino 2018</t>
  </si>
  <si>
    <t>Portofino 2018</t>
  </si>
  <si>
    <t>S1 714</t>
  </si>
  <si>
    <t>Ferrari J50 Preorder Car 2017</t>
  </si>
  <si>
    <t>J50 Preorder Car 2017</t>
  </si>
  <si>
    <t>预购奖励</t>
  </si>
  <si>
    <t>Ferrari 812 Superfast 2017</t>
  </si>
  <si>
    <t>812 Superfast 2017</t>
  </si>
  <si>
    <t>S1 780</t>
  </si>
  <si>
    <t>Ferrari J50 2017</t>
  </si>
  <si>
    <t>J50 2017</t>
  </si>
  <si>
    <t>S1 772</t>
  </si>
  <si>
    <t>Ferrari F12tdf 2015</t>
  </si>
  <si>
    <t>F12tdf 2015</t>
  </si>
  <si>
    <t>S1 788</t>
  </si>
  <si>
    <t>Ferrari 488 GTB 2015</t>
  </si>
  <si>
    <t>488 GTB 2015</t>
  </si>
  <si>
    <t>S1 770</t>
  </si>
  <si>
    <t>Ferrari FXX K 2014</t>
  </si>
  <si>
    <t>FXX K 2014</t>
  </si>
  <si>
    <t>R 936</t>
  </si>
  <si>
    <t>Ferrari LaFerrari 2013</t>
  </si>
  <si>
    <t>LaFerrari 2013</t>
  </si>
  <si>
    <t>S2 857</t>
  </si>
  <si>
    <t>Ferrari 458 Speciale 2013</t>
  </si>
  <si>
    <t>458 Speciale 2013</t>
  </si>
  <si>
    <t>S1 768</t>
  </si>
  <si>
    <t>Ferrari 599XX Evolution 2012</t>
  </si>
  <si>
    <t>599XX Evolution 2012</t>
  </si>
  <si>
    <t>S2 894</t>
  </si>
  <si>
    <t>Ferrari 599XX 2010</t>
  </si>
  <si>
    <t>599XX 2010</t>
  </si>
  <si>
    <t>S2 840</t>
  </si>
  <si>
    <t>Ferrari 458 Italia 2009</t>
  </si>
  <si>
    <t>458 Italia 2009</t>
  </si>
  <si>
    <t>S1 721</t>
  </si>
  <si>
    <t>Ferrari 430 Scuderia 2007</t>
  </si>
  <si>
    <t>430 Scuderia 2007</t>
  </si>
  <si>
    <t>S1 702</t>
  </si>
  <si>
    <t>Ferrari FXX 2005</t>
  </si>
  <si>
    <t>FXX 2005</t>
  </si>
  <si>
    <t>S2 900</t>
  </si>
  <si>
    <t>Ferrari Enzo Ferrari 2002</t>
  </si>
  <si>
    <t>Enzo Ferrari 2002</t>
  </si>
  <si>
    <t>Ferrari F50 GT 1996</t>
  </si>
  <si>
    <t>F50 GT 1996</t>
  </si>
  <si>
    <t>车辆熟练度奖励: Ferrari F50</t>
  </si>
  <si>
    <t>R 948</t>
  </si>
  <si>
    <t>Ferrari F50 1995</t>
  </si>
  <si>
    <t>F50 1995</t>
  </si>
  <si>
    <t>Ferrari F355 Berlinetta 1994</t>
  </si>
  <si>
    <t>F355 Berlinetta 1994</t>
  </si>
  <si>
    <t>1994</t>
  </si>
  <si>
    <t>B 588</t>
  </si>
  <si>
    <t>Ferrari 512 TR 1992</t>
  </si>
  <si>
    <t>512 TR 1992</t>
  </si>
  <si>
    <t>A 615</t>
  </si>
  <si>
    <t>Ferrari F40 Competizione 1989</t>
  </si>
  <si>
    <t>F40 Competizione 1989</t>
  </si>
  <si>
    <t>1989</t>
  </si>
  <si>
    <t>Ferrari F40 1987</t>
  </si>
  <si>
    <t>F40 1987</t>
  </si>
  <si>
    <t>车展, Earn 2,000 points in the "Garages" category in the Collection Journal</t>
  </si>
  <si>
    <t>Ferrari 288 GTO 1984</t>
  </si>
  <si>
    <t>288 GTO 1984</t>
  </si>
  <si>
    <t>1984</t>
  </si>
  <si>
    <t>A 643</t>
  </si>
  <si>
    <t>Ferrari 512 S 1970</t>
  </si>
  <si>
    <t>512 S 1970</t>
  </si>
  <si>
    <t>S1 774</t>
  </si>
  <si>
    <t>Ferrari Dino 246 GT 1969</t>
  </si>
  <si>
    <t>Dino 246 GT 1969</t>
  </si>
  <si>
    <t>Ferrari #24 Ferrari Spa 330 P4 1967</t>
  </si>
  <si>
    <t>#24 Ferrari Spa 330 P4 1967</t>
  </si>
  <si>
    <t>Ferrari 275 GTB4 Spider 1967</t>
  </si>
  <si>
    <t>275 GTB4 Spider 1967</t>
  </si>
  <si>
    <t>Ferrari 250 GTO 1962</t>
  </si>
  <si>
    <t>250 GTO 1962</t>
  </si>
  <si>
    <t>1962</t>
  </si>
  <si>
    <t>C 494</t>
  </si>
  <si>
    <t>Ferrari 250 GT Berlinetta Lusso 1962</t>
  </si>
  <si>
    <t>250 GT Berlinetta Lusso 1962</t>
  </si>
  <si>
    <t>车展, Earn 2,000 points in the "Horizon Promo" category in the Collection Journal</t>
  </si>
  <si>
    <t>C 475</t>
  </si>
  <si>
    <t>Ford Mustang Dark Horse 2024</t>
  </si>
  <si>
    <t>Ford
福特</t>
  </si>
  <si>
    <t>Mustang Dark Horse 2024</t>
  </si>
  <si>
    <t>车展, Earn 400 points in the "Speed Traps" category in the Collection Journal</t>
  </si>
  <si>
    <t>A 669</t>
  </si>
  <si>
    <t>Ford Mustang GT 2024</t>
  </si>
  <si>
    <t>Mustang GT 2024</t>
  </si>
  <si>
    <t>Ford F-150 Raptor R 'Welcome Pack' 2023</t>
  </si>
  <si>
    <t>F-150 Raptor R 'Welcome Pack' 2023</t>
  </si>
  <si>
    <t>B 600</t>
  </si>
  <si>
    <t>Ford F-150 Raptor R 2023</t>
  </si>
  <si>
    <t>F-150 Raptor R 2023</t>
  </si>
  <si>
    <t>B 536</t>
  </si>
  <si>
    <t>Ford Fiesta ST 2023</t>
  </si>
  <si>
    <t>Fiesta ST 2023</t>
  </si>
  <si>
    <t>C 500</t>
  </si>
  <si>
    <t>Ford Supervan 4 2022</t>
  </si>
  <si>
    <t>Supervan 4 2022</t>
  </si>
  <si>
    <t>车辆熟练度奖励: Ford Supervan 3</t>
  </si>
  <si>
    <t>R 919</t>
  </si>
  <si>
    <t>Ford Focus ST 2022</t>
  </si>
  <si>
    <t>Focus ST 2022</t>
  </si>
  <si>
    <t>B 594</t>
  </si>
  <si>
    <t>Ford F-150 Lightning 2022</t>
  </si>
  <si>
    <t>F-150 Lightning 2022</t>
  </si>
  <si>
    <t>Ford Bronco Raptor 2022</t>
  </si>
  <si>
    <t>Bronco Raptor 2022</t>
  </si>
  <si>
    <t>C 473</t>
  </si>
  <si>
    <t>Ford Mustang Shelby GT500 2020</t>
  </si>
  <si>
    <t>Mustang Shelby GT500 2020</t>
  </si>
  <si>
    <t>Ford Super Duty F-450 DRW PLATINUM Forza Edition 2020</t>
  </si>
  <si>
    <t>Super Duty F-450 DRW PLATINUM Forza Edition 2020</t>
  </si>
  <si>
    <t>Ford #2069 Ford Performance Bronco R 2020</t>
  </si>
  <si>
    <t>#2069 Ford Performance Bronco R 2020</t>
  </si>
  <si>
    <t>C 441</t>
  </si>
  <si>
    <t>Offroad</t>
  </si>
  <si>
    <t>Ford Super Duty F-450 DRW PLATINUM 2020</t>
  </si>
  <si>
    <t>Super Duty F-450 DRW PLATINUM 2020</t>
  </si>
  <si>
    <t>Ford Mustang RTR Spec 5 2018</t>
  </si>
  <si>
    <t>Mustang RTR Spec 5 2018</t>
  </si>
  <si>
    <t>Ford #14 Rahal Letterman Lanigan Racing GRC Fiesta 2017</t>
  </si>
  <si>
    <t>#14 Rahal Letterman Lanigan Racing GRC Fiesta 2017</t>
  </si>
  <si>
    <t>车展, Earn 850 points in the "Bonus Boards" category in the Collection Journal</t>
  </si>
  <si>
    <t>Ford GT 2017</t>
  </si>
  <si>
    <t>GT 2017</t>
  </si>
  <si>
    <t>S1 757</t>
  </si>
  <si>
    <t>Ford M-Sport Fiesta RS 2017</t>
  </si>
  <si>
    <t>M-Sport Fiesta RS 2017</t>
  </si>
  <si>
    <t>Ford #25 'Brocky' Ultra4 Bronco RTR 2017</t>
  </si>
  <si>
    <t>#25 'Brocky' Ultra4 Bronco RTR 2017</t>
  </si>
  <si>
    <t>车展, Earn 2,500 points in the "Master Explorer" category in the Collection Journal</t>
  </si>
  <si>
    <t>Ford Focus RS 2017</t>
  </si>
  <si>
    <t>Focus RS 2017</t>
  </si>
  <si>
    <t>车展, Earn 150 points in the "Car Collection" category in the Collection Journal</t>
  </si>
  <si>
    <t>Ford Mustang Shelby GT350R 2016</t>
  </si>
  <si>
    <t>Mustang Shelby GT350R 2016</t>
  </si>
  <si>
    <t>Ford #11 Rockstar F-150 Trophy Truck 2014</t>
  </si>
  <si>
    <t>#11 Rockstar F-150 Trophy Truck 2014</t>
  </si>
  <si>
    <t>Ford FPV Limited Edition Pursuit Ute 2014</t>
  </si>
  <si>
    <t>FPV Limited Edition Pursuit Ute 2014</t>
  </si>
  <si>
    <t>B 563</t>
  </si>
  <si>
    <t>Ford Ranger T6 Rally Raid 2014</t>
  </si>
  <si>
    <t>Ranger T6 Rally Raid 2014</t>
  </si>
  <si>
    <t>B 530</t>
  </si>
  <si>
    <t>Ford Mustang Shelby GT500 2013</t>
  </si>
  <si>
    <t>Mustang Shelby GT500 2013</t>
  </si>
  <si>
    <t>Ford Transit SuperSportVan 2011</t>
  </si>
  <si>
    <t>Transit SuperSportVan 2011</t>
  </si>
  <si>
    <t>D 235</t>
  </si>
  <si>
    <t>Ford Crown Victoria Police Interceptor 2010</t>
  </si>
  <si>
    <t>Crown Victoria Police Interceptor 2010</t>
  </si>
  <si>
    <t>D 354</t>
  </si>
  <si>
    <t>Ford Focus RS 2009</t>
  </si>
  <si>
    <t>Focus RS 2009</t>
  </si>
  <si>
    <t>B 551</t>
  </si>
  <si>
    <t>Ford GT 2005</t>
  </si>
  <si>
    <t>GT 2005</t>
  </si>
  <si>
    <t>密藏座驾: Southeast Nangan</t>
  </si>
  <si>
    <t>A 676</t>
  </si>
  <si>
    <t>Ford Focus RS 2003</t>
  </si>
  <si>
    <t>Focus RS 2003</t>
  </si>
  <si>
    <t>Ford F-150 SVT Lightning 2003</t>
  </si>
  <si>
    <t>F-150 SVT Lightning 2003</t>
  </si>
  <si>
    <t>Ford #4 Ford Focus RS 2001</t>
  </si>
  <si>
    <t>#4 Ford Focus RS 2001</t>
  </si>
  <si>
    <t>A 639</t>
  </si>
  <si>
    <t>Ford Mustang SVT Cobra R 2000</t>
  </si>
  <si>
    <t>Mustang SVT Cobra R 2000</t>
  </si>
  <si>
    <t>2000</t>
  </si>
  <si>
    <t>B 528</t>
  </si>
  <si>
    <t>Ford Racing Puma 1999</t>
  </si>
  <si>
    <t>Racing Puma 1999</t>
  </si>
  <si>
    <t>C 401</t>
  </si>
  <si>
    <t>Ford Supervan 3 1994</t>
  </si>
  <si>
    <t>Supervan 3 1994</t>
  </si>
  <si>
    <t>S1 740</t>
  </si>
  <si>
    <t>Ford Mustang SVT Cobra R 1993</t>
  </si>
  <si>
    <t>Mustang SVT Cobra R 1993</t>
  </si>
  <si>
    <t>C 432</t>
  </si>
  <si>
    <t>Ford Escort RS Cosworth 1992</t>
  </si>
  <si>
    <t>Escort RS Cosworth 1992</t>
  </si>
  <si>
    <t>C 456</t>
  </si>
  <si>
    <t>Ford Sierra Cosworth RS500 1987</t>
  </si>
  <si>
    <t>Sierra Cosworth RS500 1987</t>
  </si>
  <si>
    <t>车房宝物: Southwest Ito</t>
  </si>
  <si>
    <t>BARN FIND</t>
  </si>
  <si>
    <t>Ford F-150 XLT Lariat Forza Edition 1986</t>
  </si>
  <si>
    <t>F-150 XLT Lariat Forza Edition 1986</t>
  </si>
  <si>
    <t>S2 850</t>
  </si>
  <si>
    <t>Ford F-150 XLT Lariat 1986</t>
  </si>
  <si>
    <t>F-150 XLT Lariat 1986</t>
  </si>
  <si>
    <t>D 263</t>
  </si>
  <si>
    <t>Ford RS200 Evolution 1985</t>
  </si>
  <si>
    <t>RS200 Evolution 1985</t>
  </si>
  <si>
    <t>1985</t>
  </si>
  <si>
    <t>剧情：绿色腕带</t>
  </si>
  <si>
    <t>S1 710</t>
  </si>
  <si>
    <t>Ford #5 Escort RS1800 MkII 1977</t>
  </si>
  <si>
    <t>#5 Escort RS1800 MkII 1977</t>
  </si>
  <si>
    <t>1977</t>
  </si>
  <si>
    <t>Ford XB Falcon GT 1973</t>
  </si>
  <si>
    <t>XB Falcon GT 1973</t>
  </si>
  <si>
    <t>C 422</t>
  </si>
  <si>
    <t>Ford Capri RS3100 1973</t>
  </si>
  <si>
    <t>Capri RS3100 1973</t>
  </si>
  <si>
    <t>D 394</t>
  </si>
  <si>
    <t>Ford Mustang Boss 302 1969</t>
  </si>
  <si>
    <t>Mustang Boss 302 1969</t>
  </si>
  <si>
    <t>C 468</t>
  </si>
  <si>
    <t>Ford Mustang GT 2+2 Fastback Forza Edition 1968</t>
  </si>
  <si>
    <t>Mustang GT 2+2 Fastback Forza Edition 1968</t>
  </si>
  <si>
    <t>Ford Mustang GT 2+2 Fastback 1968</t>
  </si>
  <si>
    <t>Mustang GT 2+2 Fastback 1968</t>
  </si>
  <si>
    <t>Ford #2 GT40 Mk II 1966</t>
  </si>
  <si>
    <t>#2 GT40 Mk II 1966</t>
  </si>
  <si>
    <t>1966</t>
  </si>
  <si>
    <t>Ford Mustang GT Coupe 1965</t>
  </si>
  <si>
    <t>Mustang GT Coupe 1965</t>
  </si>
  <si>
    <t>D 388</t>
  </si>
  <si>
    <t>Ford De Luxe Five-Window Coupe 1932</t>
  </si>
  <si>
    <t>De Luxe Five-Window Coupe 1932</t>
  </si>
  <si>
    <t>1932</t>
  </si>
  <si>
    <t>Formula Drift #64 Forsberg Racing Nissan Z 2023</t>
  </si>
  <si>
    <t>Formula Drift
漂移方程式</t>
  </si>
  <si>
    <t>#64 Forsberg Racing Nissan Z 2023</t>
  </si>
  <si>
    <t>S1 783</t>
  </si>
  <si>
    <t>Formula Drift #151 Toyota GR Supra 2020</t>
  </si>
  <si>
    <t>#151 Toyota GR Supra 2020</t>
  </si>
  <si>
    <t>S1 779</t>
  </si>
  <si>
    <t>Formula Drift #91 BMW M2 2020</t>
  </si>
  <si>
    <t>#91 BMW M2 2020</t>
  </si>
  <si>
    <t>S1 748</t>
  </si>
  <si>
    <t>Formula Drift #411 Toyota Corolla Hatchback 2019</t>
  </si>
  <si>
    <t>#411 Toyota Corolla Hatchback 2019</t>
  </si>
  <si>
    <t>S1 754</t>
  </si>
  <si>
    <t>Formula Drift #530 HSV Maloo Gen-F 2016</t>
  </si>
  <si>
    <t>#530 HSV Maloo Gen-F 2016</t>
  </si>
  <si>
    <t>Formula Drift #13 Ford Mustang 2015</t>
  </si>
  <si>
    <t>#13 Ford Mustang 2015</t>
  </si>
  <si>
    <t>S1 739</t>
  </si>
  <si>
    <t>Formula Drift #777 Chevrolet Corvette 2013</t>
  </si>
  <si>
    <t>#777 Chevrolet Corvette 2013</t>
  </si>
  <si>
    <t>S1 760</t>
  </si>
  <si>
    <t>Formula Drift #99 Mazda RX-8 2009</t>
  </si>
  <si>
    <t>#99 Mazda RX-8 2009</t>
  </si>
  <si>
    <t>车展, Earn 1,500 points in the "Drift Zones" category in the Collection Journal</t>
  </si>
  <si>
    <t>Formula Drift #117 599 GTB Fiorano 2007</t>
  </si>
  <si>
    <t>#117 599 GTB Fiorano 2007</t>
  </si>
  <si>
    <t>车展, Earn 400 points in the "Skills" category in the Collection Journal</t>
  </si>
  <si>
    <t>S1 767</t>
  </si>
  <si>
    <t>Formula Drift #43 Dodge Viper SRT10 2006</t>
  </si>
  <si>
    <t>#43 Dodge Viper SRT10 2006</t>
  </si>
  <si>
    <t>Formula Drift #777 Nissan 240SX 1997</t>
  </si>
  <si>
    <t>#777 Nissan 240SX 1997</t>
  </si>
  <si>
    <t>车展, Earn 1,800 points in the "Drift Club Japan" category in the Collection Journal</t>
  </si>
  <si>
    <t>Formula Drift #34 Toyota Supra MkIV 1995</t>
  </si>
  <si>
    <t>#34 Toyota Supra MkIV 1995</t>
  </si>
  <si>
    <t>S1 759</t>
  </si>
  <si>
    <t>Formula Drift #98 BMW 325i 1989</t>
  </si>
  <si>
    <t>#98 BMW 325i 1989</t>
  </si>
  <si>
    <t>Funco Motorsports F9 2018</t>
  </si>
  <si>
    <t>Funco</t>
  </si>
  <si>
    <t>F9 2018</t>
  </si>
  <si>
    <t>Earn 3,500 points in the "Bonus Boards" category in the Collection Journal</t>
  </si>
  <si>
    <t>S1 752</t>
  </si>
  <si>
    <t>GMC HUMMER EV Pickup 2022</t>
  </si>
  <si>
    <t>GMC</t>
  </si>
  <si>
    <t>HUMMER EV Pickup 2022</t>
  </si>
  <si>
    <t>A 610</t>
  </si>
  <si>
    <t>GMC Typhoon 1992</t>
  </si>
  <si>
    <t>Typhoon 1992</t>
  </si>
  <si>
    <t>C 435</t>
  </si>
  <si>
    <t>GMC Syclone 1991</t>
  </si>
  <si>
    <t>Syclone 1991</t>
  </si>
  <si>
    <t>1991</t>
  </si>
  <si>
    <t>C 446</t>
  </si>
  <si>
    <t>GMC Jimmy 1970</t>
  </si>
  <si>
    <t>Jimmy 1970</t>
  </si>
  <si>
    <t>车展, Complete the Initial Drive</t>
  </si>
  <si>
    <t>C 416</t>
  </si>
  <si>
    <t>Gordon Murray Automotive T.50 2022</t>
  </si>
  <si>
    <t>Gordon Murray Automotive</t>
  </si>
  <si>
    <t>T.50 2020</t>
  </si>
  <si>
    <t>车展, Earn 2,500 points in the "Speed Traps" category in the Collection Journal</t>
  </si>
  <si>
    <t>S2 871</t>
  </si>
  <si>
    <t>GR GT Prototype 2025</t>
  </si>
  <si>
    <t>GR</t>
  </si>
  <si>
    <t>GT Prototype 2025</t>
  </si>
  <si>
    <t>S1 771</t>
  </si>
  <si>
    <t>Hennessey Venom F5 2021</t>
  </si>
  <si>
    <t>Hennessey</t>
  </si>
  <si>
    <t>Venom F5 2021</t>
  </si>
  <si>
    <t>S2 870</t>
  </si>
  <si>
    <t>Hennessey Ford F-150 VelociRaptor 6x6 2019</t>
  </si>
  <si>
    <t>Ford F-150 VelociRaptor 6x6 2019</t>
  </si>
  <si>
    <t>B 520</t>
  </si>
  <si>
    <t>Hennessey Venom GT 2012</t>
  </si>
  <si>
    <t>Venom GT 2012</t>
  </si>
  <si>
    <t>S2 845</t>
  </si>
  <si>
    <t>Holden Torana A9X 1977</t>
  </si>
  <si>
    <t>Holden</t>
  </si>
  <si>
    <t>Torana A9X 1977</t>
  </si>
  <si>
    <t>澳大利亚</t>
  </si>
  <si>
    <t>C 413</t>
  </si>
  <si>
    <t>Honda Civic Type R 2023</t>
  </si>
  <si>
    <t>Honda
本田</t>
  </si>
  <si>
    <t>Civic Type R 2023</t>
  </si>
  <si>
    <t>车展, 抽奖, 二手车, Earn 200 points in "Car Upgrades" category in the Collection Journal</t>
  </si>
  <si>
    <t>Honda e 2022</t>
  </si>
  <si>
    <t>e 2022</t>
  </si>
  <si>
    <t>D 398</t>
  </si>
  <si>
    <t>Honda Civic Type R 2018</t>
  </si>
  <si>
    <t>Civic Type R 2018</t>
  </si>
  <si>
    <t>Honda Civic Type R 2015</t>
  </si>
  <si>
    <t>Civic Type R 2015</t>
  </si>
  <si>
    <t>B 585</t>
  </si>
  <si>
    <t>Honda Ridgeline Baja Trophy Truck 2015</t>
  </si>
  <si>
    <t>Ridgeline Baja Trophy Truck 2015</t>
  </si>
  <si>
    <t>Honda Civic Type R 2008</t>
  </si>
  <si>
    <t>Civic Type R 2008</t>
  </si>
  <si>
    <t>B 514</t>
  </si>
  <si>
    <t>Honda Civic Type R 2007</t>
  </si>
  <si>
    <t>Civic Type R 2007</t>
  </si>
  <si>
    <t>Honda NSX-R GT 2005</t>
  </si>
  <si>
    <t>NSX-R GT 2005</t>
  </si>
  <si>
    <t>车房宝物: South of the Horizon Festival</t>
  </si>
  <si>
    <t>Honda NSX-R 2005</t>
  </si>
  <si>
    <t>NSX-R 2005</t>
  </si>
  <si>
    <t>车展, Earn 1,500 points in the "Regional Mascots" category in the Collection Journal</t>
  </si>
  <si>
    <t>B 570</t>
  </si>
  <si>
    <t>Honda #52 Evasive Motorsports S2000 WTAC 2004</t>
  </si>
  <si>
    <t>#52 Evasive Motorsports S2000 WTAC 2004</t>
  </si>
  <si>
    <t>2004</t>
  </si>
  <si>
    <t>车展 (DLC: Time Attack Car Pack )</t>
  </si>
  <si>
    <t>S2 888</t>
  </si>
  <si>
    <t>Honda Civic Type R 2004</t>
  </si>
  <si>
    <t>Civic Type R 2004</t>
  </si>
  <si>
    <t>C 480</t>
  </si>
  <si>
    <t>Honda S2000 2003</t>
  </si>
  <si>
    <t>S2000 2003</t>
  </si>
  <si>
    <t>B 503</t>
  </si>
  <si>
    <t>Honda #33 Integra WTAC 2001</t>
  </si>
  <si>
    <t>#33 Integra WTAC 2001</t>
  </si>
  <si>
    <t>S2 860</t>
  </si>
  <si>
    <t>Honda Civic Type R 1997</t>
  </si>
  <si>
    <t>Civic Type R 1997</t>
  </si>
  <si>
    <t>Honda Prelude Si 1994</t>
  </si>
  <si>
    <t>Prelude Si 1994</t>
  </si>
  <si>
    <t>车展, 抽奖, Earn 250 points in the "Photography" category in the Collection Journal</t>
  </si>
  <si>
    <t>C 410</t>
  </si>
  <si>
    <t>Honda Acty 1994</t>
  </si>
  <si>
    <t>Acty 1994</t>
  </si>
  <si>
    <t>车展, 抽奖, Earn 750 points in the "Tokyo City Food Delivery" category in the Collection Journal</t>
  </si>
  <si>
    <t>Honda #21 Hardrace/JDMYard Civic WTAC 1992</t>
  </si>
  <si>
    <t>#21 Hardrace/JDMYard Civic WTAC 1992</t>
  </si>
  <si>
    <t>R 913</t>
  </si>
  <si>
    <t>Honda NSX-R 1992</t>
  </si>
  <si>
    <t>NSX-R 1992</t>
  </si>
  <si>
    <t>B 572</t>
  </si>
  <si>
    <t>Honda CR-X SiR 1991</t>
  </si>
  <si>
    <t>CR-X SiR 1991</t>
  </si>
  <si>
    <t>C 465</t>
  </si>
  <si>
    <t>Honda Beat 1991</t>
  </si>
  <si>
    <t>Beat 1991</t>
  </si>
  <si>
    <t>车展, 抽奖, Earn 250 points in the "Regional Mascots" category in the Collection Journal</t>
  </si>
  <si>
    <t>D 283</t>
  </si>
  <si>
    <t>Honda #19 101 Motorsport CRX WTAC 1990</t>
  </si>
  <si>
    <t>#19 101 Motorsport CRX WTAC 1990</t>
  </si>
  <si>
    <t>S2 877</t>
  </si>
  <si>
    <t>Honda Civic Si 1986</t>
  </si>
  <si>
    <t>Civic Si 1986</t>
  </si>
  <si>
    <t>D 253</t>
  </si>
  <si>
    <t>Honda Civic CRX Mugen 1984</t>
  </si>
  <si>
    <t>Civic CRX Mugen 1984</t>
  </si>
  <si>
    <t>Earn 1,800 points in the "Moto Auto Zine" category in the Collection Journal</t>
  </si>
  <si>
    <t>D 390</t>
  </si>
  <si>
    <t>Honda City E II 1984</t>
  </si>
  <si>
    <t>City E II 1984</t>
  </si>
  <si>
    <t>车展, 抽奖, Earn 500 points in the "Yuji's Auto" category in the Collection Journal</t>
  </si>
  <si>
    <t>D 203</t>
  </si>
  <si>
    <t>Honda Civic RS 1974</t>
  </si>
  <si>
    <t>Civic RS 1974</t>
  </si>
  <si>
    <t>1974</t>
  </si>
  <si>
    <t>车辆熟练度奖励: Honda Civic Type R (2023)</t>
  </si>
  <si>
    <t>D 254</t>
  </si>
  <si>
    <t>Honda S800 1970</t>
  </si>
  <si>
    <t>S800 1970</t>
  </si>
  <si>
    <t>D 134</t>
  </si>
  <si>
    <t>HSV Limited Edition Gen-F GTS Maloo 2014</t>
  </si>
  <si>
    <t>HSV</t>
  </si>
  <si>
    <t>Limited Edition Gen-F GTS Maloo 2014</t>
  </si>
  <si>
    <t>A 629</t>
  </si>
  <si>
    <t>HSV GEN-F GTS 2014</t>
  </si>
  <si>
    <t>GEN-F GTS 2014</t>
  </si>
  <si>
    <t>Hyundai IONIQ 5 N 2023</t>
  </si>
  <si>
    <t>Hyundai
现代</t>
  </si>
  <si>
    <t>IONIQ 5 N 2023</t>
  </si>
  <si>
    <t>韩国</t>
  </si>
  <si>
    <t>A 657</t>
  </si>
  <si>
    <t>Hyundai N Vision 74 2022</t>
  </si>
  <si>
    <t>N Vision 74 2022</t>
  </si>
  <si>
    <t>A 692</t>
  </si>
  <si>
    <t>Hyundai i20 N 2021</t>
  </si>
  <si>
    <t>i20 N 2021</t>
  </si>
  <si>
    <t>B 564</t>
  </si>
  <si>
    <t>Hyundai i30 N 2020</t>
  </si>
  <si>
    <t>i30 N 2020</t>
  </si>
  <si>
    <t>B 553</t>
  </si>
  <si>
    <t>Hyundai Veloster N 2019</t>
  </si>
  <si>
    <t>Veloster N 2019</t>
  </si>
  <si>
    <t>Jaguar C-X75 2010</t>
  </si>
  <si>
    <t>Jaguar
捷豹</t>
  </si>
  <si>
    <t>C-X75 2010</t>
  </si>
  <si>
    <t>Jaguar XJ220S TWR 1993</t>
  </si>
  <si>
    <t>XJ220S TWR 1993</t>
  </si>
  <si>
    <t>S1 750</t>
  </si>
  <si>
    <t>Jaguar XJ220 1993</t>
  </si>
  <si>
    <t>XJ220 1993</t>
  </si>
  <si>
    <t>Jaguar Sport XJR-15 1991</t>
  </si>
  <si>
    <t>Sport XJR-15 1991</t>
  </si>
  <si>
    <t>车展, Earn 900 points in the "Car Collection" category in the Collection Journal</t>
  </si>
  <si>
    <t>S1 716</t>
  </si>
  <si>
    <t>Jaguar Lightweight E-Type 1964</t>
  </si>
  <si>
    <t>Lightweight E-Type 1964</t>
  </si>
  <si>
    <t>Jaguar E-type 1961</t>
  </si>
  <si>
    <t>E-type 1961</t>
  </si>
  <si>
    <t>1961</t>
  </si>
  <si>
    <t>C 414</t>
  </si>
  <si>
    <t>Jaguar D-Type 1956</t>
  </si>
  <si>
    <t>D-Type 1956</t>
  </si>
  <si>
    <t>1956</t>
  </si>
  <si>
    <t>B 506</t>
  </si>
  <si>
    <t>Jeep JT 2020</t>
  </si>
  <si>
    <t>Jeep</t>
  </si>
  <si>
    <t>JT 2020</t>
  </si>
  <si>
    <t>D 336</t>
  </si>
  <si>
    <t>Jeep Grand Cherokee Trackhawk 2018</t>
  </si>
  <si>
    <t>Grand Cherokee Trackhawk 2018</t>
  </si>
  <si>
    <t>Jeep Trailcat 2016</t>
  </si>
  <si>
    <t>Trailcat 2016</t>
  </si>
  <si>
    <t>Jeep Wrangler Rubicon 2012</t>
  </si>
  <si>
    <t>Wrangler Rubicon 2012</t>
  </si>
  <si>
    <t>D 350</t>
  </si>
  <si>
    <t>Jimco #179 Hammerhead Class 1 2020</t>
  </si>
  <si>
    <t>Jimco</t>
  </si>
  <si>
    <t>#179 Hammerhead Class 1 2020</t>
  </si>
  <si>
    <t>Jimco #240 Fastball Racing Spec Trophy Truck 2019</t>
  </si>
  <si>
    <t>#240 Fastball Racing Spec Trophy Truck 2019</t>
  </si>
  <si>
    <t>B 511</t>
  </si>
  <si>
    <t>Koenigsegg Gemera 2024</t>
  </si>
  <si>
    <t>Koenigsegg
柯尼塞格</t>
  </si>
  <si>
    <t>Gemera 2024</t>
  </si>
  <si>
    <t>瑞典</t>
  </si>
  <si>
    <t>Koenigsegg Jesko 2020</t>
  </si>
  <si>
    <t>Jesko 2020</t>
  </si>
  <si>
    <t>S2 899</t>
  </si>
  <si>
    <t>Koenigsegg Agera RS 2017</t>
  </si>
  <si>
    <t>Agera RS 2017</t>
  </si>
  <si>
    <t>车展, Earn 2,100 points in the "Discovery" category in the Collection Journal</t>
  </si>
  <si>
    <t>S2 890</t>
  </si>
  <si>
    <t>Koenigsegg Regera 2016</t>
  </si>
  <si>
    <t>Regera 2016</t>
  </si>
  <si>
    <t>S2 886</t>
  </si>
  <si>
    <t>Koenigsegg One:1 2015</t>
  </si>
  <si>
    <t>One:1 2015</t>
  </si>
  <si>
    <t>Koenigsegg Agera 2011</t>
  </si>
  <si>
    <t>Agera 2011</t>
  </si>
  <si>
    <t>Koenigsegg CCGT 2008</t>
  </si>
  <si>
    <t>CCGT 2008</t>
  </si>
  <si>
    <t>KTM X-Bow GT4 2018</t>
  </si>
  <si>
    <t>KTM</t>
  </si>
  <si>
    <t>X-Bow GT4 2018</t>
  </si>
  <si>
    <t>奥地利</t>
  </si>
  <si>
    <t>S1 749</t>
  </si>
  <si>
    <t>Lamborghini Revuelto 2024</t>
  </si>
  <si>
    <t>Lamborghini
兰博基尼</t>
  </si>
  <si>
    <t>Revuelto 2024</t>
  </si>
  <si>
    <t>车展, Earn 2,500 points in the "Road Racing" category in the Collection Journal</t>
  </si>
  <si>
    <t>S2 829</t>
  </si>
  <si>
    <t>Lamborghini Huracán Sterrato 2023</t>
  </si>
  <si>
    <t>Huracán Sterrato 2023</t>
  </si>
  <si>
    <t>Earn 7,610 points in the "Dirt Racing" category in the Collection Journal</t>
  </si>
  <si>
    <t>Lamborghini Huracán Tecnica 2022</t>
  </si>
  <si>
    <t>Huracán Tecnica 2022</t>
  </si>
  <si>
    <t>S1 747</t>
  </si>
  <si>
    <t>Lamborghini Aventador LP 780-4 Ultimae 2021</t>
  </si>
  <si>
    <t>Aventador LP 780-4 Ultimae 2021</t>
  </si>
  <si>
    <t>剧情：金色腕带</t>
  </si>
  <si>
    <t>S1 794</t>
  </si>
  <si>
    <t>Lamborghini Countach LPI 800-4 2021</t>
  </si>
  <si>
    <t>Countach LPI 800-4 2021</t>
  </si>
  <si>
    <t>Lamborghini Essenza SCV12 2020</t>
  </si>
  <si>
    <t>Essenza SCV12 2020</t>
  </si>
  <si>
    <t>R 911</t>
  </si>
  <si>
    <t>Lamborghini Sián Roadster 2020</t>
  </si>
  <si>
    <t>Sián Roadster 2020</t>
  </si>
  <si>
    <t>S1 797</t>
  </si>
  <si>
    <t>Lamborghini Huracán STO 2020</t>
  </si>
  <si>
    <t>Huracán STO 2020</t>
  </si>
  <si>
    <t>Lamborghini Huracán EVO 2020</t>
  </si>
  <si>
    <t>Huracán EVO 2020</t>
  </si>
  <si>
    <t>S1 761</t>
  </si>
  <si>
    <t>Lamborghini Urus 2019</t>
  </si>
  <si>
    <t>Urus 2019</t>
  </si>
  <si>
    <t>车展, Earn 1,675 points in the "Horizon Play" category in the Collection Journal</t>
  </si>
  <si>
    <t>A 659</t>
  </si>
  <si>
    <t>Lamborghini Aventador SVJ 2018</t>
  </si>
  <si>
    <t>Aventador SVJ 2018</t>
  </si>
  <si>
    <t>Lamborghini Centenario LP 770-4 2016</t>
  </si>
  <si>
    <t>Centenario LP 770-4 2016</t>
  </si>
  <si>
    <t>S1 792</t>
  </si>
  <si>
    <t>Lamborghini Huracán LP 610-4 2014</t>
  </si>
  <si>
    <t>Huracán LP 610-4 2014</t>
  </si>
  <si>
    <t>Lamborghini Veneno 2013</t>
  </si>
  <si>
    <t>Veneno 2013</t>
  </si>
  <si>
    <t>S2 834</t>
  </si>
  <si>
    <t>Lamborghini Aventador LP700-4 2012</t>
  </si>
  <si>
    <t>Aventador LP700-4 2012</t>
  </si>
  <si>
    <t>S1 753</t>
  </si>
  <si>
    <t>Lamborghini Gallardo LP570-4 Spyder Performante 2012</t>
  </si>
  <si>
    <t>Gallardo LP570-4 Spyder Performante 2012</t>
  </si>
  <si>
    <t>A 685</t>
  </si>
  <si>
    <t>Lamborghini Sesto Elemento 2011</t>
  </si>
  <si>
    <t>Sesto Elemento 2011</t>
  </si>
  <si>
    <t>Lamborghini Murciélago LP 670-4 SV 2010</t>
  </si>
  <si>
    <t>Murciélago LP 670-4 SV 2010</t>
  </si>
  <si>
    <t>Lamborghini Diablo GTR 1999</t>
  </si>
  <si>
    <t>Diablo GTR 1999</t>
  </si>
  <si>
    <t>S2 823</t>
  </si>
  <si>
    <t>Lamborghini Diablo SV 1997</t>
  </si>
  <si>
    <t>Diablo SV 1997</t>
  </si>
  <si>
    <t>车房宝物: East Ito</t>
  </si>
  <si>
    <t>Lamborghini Countach LP5000 QV 1988</t>
  </si>
  <si>
    <t>Countach LP5000 QV 1988</t>
  </si>
  <si>
    <t>A 622</t>
  </si>
  <si>
    <t>Lamborghini Miura P400 1967</t>
  </si>
  <si>
    <t>Miura P400 1967</t>
  </si>
  <si>
    <t>B 505</t>
  </si>
  <si>
    <t>Lancia Delta HF Integrale Evo 1992</t>
  </si>
  <si>
    <t>Lancia
蓝旗亚</t>
  </si>
  <si>
    <t>Delta HF Integrale Evo 1992</t>
  </si>
  <si>
    <t>C 489</t>
  </si>
  <si>
    <t>Lancia Delta S4 1986</t>
  </si>
  <si>
    <t>Delta S4 1986</t>
  </si>
  <si>
    <t>Lancia Stratos HF Stradale 1974</t>
  </si>
  <si>
    <t>Stratos HF Stradale 1974</t>
  </si>
  <si>
    <t>密藏座驾: Central Sotoyama</t>
  </si>
  <si>
    <t>C 483</t>
  </si>
  <si>
    <t>Land Rover Defender 110 X 2020</t>
  </si>
  <si>
    <t>Land Rover
路虎</t>
  </si>
  <si>
    <t>Defender 110 X 2020</t>
  </si>
  <si>
    <t>Land Rover Range Rover Sport SVR 2015</t>
  </si>
  <si>
    <t>Range Rover Sport SVR 2015</t>
  </si>
  <si>
    <t>车展, Earn 200 points in the "Danger Signs" category in the Collection Journal</t>
  </si>
  <si>
    <t>A 604</t>
  </si>
  <si>
    <t>Lexus LC 500 2021</t>
  </si>
  <si>
    <t>Lexus
雷克萨斯</t>
  </si>
  <si>
    <t>LC 500 2021</t>
  </si>
  <si>
    <t>B 592</t>
  </si>
  <si>
    <t>Lexus RC F 2015</t>
  </si>
  <si>
    <t>RC F 2015</t>
  </si>
  <si>
    <t>A 623</t>
  </si>
  <si>
    <t>Lexus LFA Forza Edition 2010</t>
  </si>
  <si>
    <t>LFA Forza Edition 2010</t>
  </si>
  <si>
    <t>Earn 7,000 points in the "Touge &amp; Street Racing" category in the Collection Journal</t>
  </si>
  <si>
    <t>Lexus LFA 2010</t>
  </si>
  <si>
    <t>LFA 2010</t>
  </si>
  <si>
    <t>Lincoln Continental 1962</t>
  </si>
  <si>
    <t>Lincoln
林肯</t>
  </si>
  <si>
    <t>Continental 1962</t>
  </si>
  <si>
    <t>车房宝物: West of The Estate</t>
  </si>
  <si>
    <t>D 267</t>
  </si>
  <si>
    <t>Lotus Emira 2023</t>
  </si>
  <si>
    <t>Lotus
莲花</t>
  </si>
  <si>
    <t>Emira 2023</t>
  </si>
  <si>
    <t>Lotus Evija 2020</t>
  </si>
  <si>
    <t>Evija 2020</t>
  </si>
  <si>
    <t>R 937</t>
  </si>
  <si>
    <t>Lotus Evija Forza Edition 2020</t>
  </si>
  <si>
    <t>Evija Forza Edition 2020</t>
  </si>
  <si>
    <t>Lotus Scura Motorsports Exige WTAC 2018</t>
  </si>
  <si>
    <t>Scura Motorsports Exige WTAC 2018</t>
  </si>
  <si>
    <t>Earn 9,360 points in the "Road Racing" category in the Collection Journal</t>
  </si>
  <si>
    <t>Lotus Exige Cup 430 2018</t>
  </si>
  <si>
    <t>Exige Cup 430 2018</t>
  </si>
  <si>
    <t>S1 732</t>
  </si>
  <si>
    <t>Lotus Elise Series 1 Sport 190 1999</t>
  </si>
  <si>
    <t>Elise Series 1 Sport 190 1999</t>
  </si>
  <si>
    <t>B 589</t>
  </si>
  <si>
    <t>Lotus Elise GT1 1997</t>
  </si>
  <si>
    <t>Elise GT1 1997</t>
  </si>
  <si>
    <t>S1 709</t>
  </si>
  <si>
    <t>Lucid Air Sapphire 2024</t>
  </si>
  <si>
    <t>Lucid</t>
  </si>
  <si>
    <t>Air Sapphire 2024</t>
  </si>
  <si>
    <t>S2 820</t>
  </si>
  <si>
    <t>Maserati MC20 2022</t>
  </si>
  <si>
    <t>Maserati
玛莎拉蒂</t>
  </si>
  <si>
    <t>MC20 2022</t>
  </si>
  <si>
    <t>Maserati MC12 Versione Corsa 2008</t>
  </si>
  <si>
    <t>MC12 Versione Corsa 2008</t>
  </si>
  <si>
    <t>R 912</t>
  </si>
  <si>
    <t>Maserati MC12 2004</t>
  </si>
  <si>
    <t>MC12 2004</t>
  </si>
  <si>
    <t>S1 751</t>
  </si>
  <si>
    <t>Maserati Ghibli Cup 1997</t>
  </si>
  <si>
    <t>Ghibli Cup 1997</t>
  </si>
  <si>
    <t>车展, Earn 525 points in the "Car Collection" category in the Collection Journal</t>
  </si>
  <si>
    <t>B 591</t>
  </si>
  <si>
    <t>Mazda MX-5 Miata RF 2022</t>
  </si>
  <si>
    <t>Mazda
马自达</t>
  </si>
  <si>
    <t>MX-5 Miata RF 2022</t>
  </si>
  <si>
    <t>B 509</t>
  </si>
  <si>
    <t>Mazda MX-5 Cup 2017</t>
  </si>
  <si>
    <t>MX-5 Cup 2017</t>
  </si>
  <si>
    <t>车展, Earn 300 points in the "Horizon Play" category in the Collection Journal</t>
  </si>
  <si>
    <t>B 586</t>
  </si>
  <si>
    <t>Mazda MX-5 2016</t>
  </si>
  <si>
    <t>MX-5 2016</t>
  </si>
  <si>
    <t>C 499</t>
  </si>
  <si>
    <t>Mazda MX-5 2013</t>
  </si>
  <si>
    <t>MX-5 2013</t>
  </si>
  <si>
    <t>Mazda RX-8 R3 2011</t>
  </si>
  <si>
    <t>RX-8 R3 2011</t>
  </si>
  <si>
    <t>B 508</t>
  </si>
  <si>
    <t>Mazda Mazdaspeed 3 2010</t>
  </si>
  <si>
    <t>Mazdaspeed 3 2010</t>
  </si>
  <si>
    <t>Mazda Furai 2008</t>
  </si>
  <si>
    <t>Furai 2008</t>
  </si>
  <si>
    <t>R 926</t>
  </si>
  <si>
    <t>Mazda Mazdaspeed MX-5 2005</t>
  </si>
  <si>
    <t>Mazdaspeed MX-5 2005</t>
  </si>
  <si>
    <t>Mazda MX-5 Miata Forza Edition 1994</t>
  </si>
  <si>
    <t>MX-5 Miata Forza Edition 1994</t>
  </si>
  <si>
    <t>二手车 (Horizon Festival Drag Strip)</t>
  </si>
  <si>
    <t>Mazda MX-5 Miata 1994</t>
  </si>
  <si>
    <t>MX-5 Miata 1994</t>
  </si>
  <si>
    <t>D 329</t>
  </si>
  <si>
    <t>Mazda RX-7 Type R 1992</t>
  </si>
  <si>
    <t>RX-7 Type R 1992</t>
  </si>
  <si>
    <t>车展, Earn 200 points in the "Drift Zones" category in the Collection Journal</t>
  </si>
  <si>
    <t>Mazda #55 Mazda 787B 1991</t>
  </si>
  <si>
    <t>#55 Mazda 787B 1991</t>
  </si>
  <si>
    <t>车房宝物: Central Takashiro</t>
  </si>
  <si>
    <t>R 988</t>
  </si>
  <si>
    <t>Mazda Savanna RX-7 1990</t>
  </si>
  <si>
    <t>Savanna RX-7 1990</t>
  </si>
  <si>
    <t>C 451</t>
  </si>
  <si>
    <t>Mazda RX-7 GSL-SE 1985</t>
  </si>
  <si>
    <t>RX-7 GSL-SE 1985</t>
  </si>
  <si>
    <t>密藏座驾: Northwest Ohtani</t>
  </si>
  <si>
    <t>Mazda #123 Mad Mike 808 Wagon 'FURSTY' 1974</t>
  </si>
  <si>
    <t>#123 Mad Mike 808 Wagon 'FURSTY' 1974</t>
  </si>
  <si>
    <t>Mazda RX-3 Forza Edition 1973</t>
  </si>
  <si>
    <t>RX-3 Forza Edition 1973</t>
  </si>
  <si>
    <t>二手车 (Daikoku Parking Area)</t>
  </si>
  <si>
    <t>Mazda RX-3 1973</t>
  </si>
  <si>
    <t>RX-3 1973</t>
  </si>
  <si>
    <t>D 328</t>
  </si>
  <si>
    <t>Mazda Cosmo 110S Series II 1972</t>
  </si>
  <si>
    <t>Cosmo 110S Series II 1972</t>
  </si>
  <si>
    <t>McLaren Artura 2023</t>
  </si>
  <si>
    <t>McLaren
迈凯伦</t>
  </si>
  <si>
    <t>Artura 2023</t>
  </si>
  <si>
    <t>McLaren 765LT Coupé 2021</t>
  </si>
  <si>
    <t>765LT Coupé 2021</t>
  </si>
  <si>
    <t>McLaren Sabre 2021</t>
  </si>
  <si>
    <t>Sabre 2021</t>
  </si>
  <si>
    <t>S1 787</t>
  </si>
  <si>
    <t>McLaren 620R 2021</t>
  </si>
  <si>
    <t>620R 2021</t>
  </si>
  <si>
    <t>McLaren Speedtail 2019</t>
  </si>
  <si>
    <t>Speedtail 2019</t>
  </si>
  <si>
    <t>S2 835</t>
  </si>
  <si>
    <t>McLaren 600LT Coupé 2018</t>
  </si>
  <si>
    <t>600LT Coupé 2018</t>
  </si>
  <si>
    <t>McLaren 570S Coupé 2015</t>
  </si>
  <si>
    <t>570S Coupé 2015</t>
  </si>
  <si>
    <t>McLaren 650S Spider 2014</t>
  </si>
  <si>
    <t>650S Spider 2014</t>
  </si>
  <si>
    <t>S1 765</t>
  </si>
  <si>
    <t>McLaren P1 2013</t>
  </si>
  <si>
    <t>P1 2013</t>
  </si>
  <si>
    <t>S2 848</t>
  </si>
  <si>
    <t>McLaren 12C Coupé 2011</t>
  </si>
  <si>
    <t>12C Coupé 2011</t>
  </si>
  <si>
    <t>McLaren F1 GT 1997</t>
  </si>
  <si>
    <t>F1 GT 1997</t>
  </si>
  <si>
    <t>McLaren F1 1993</t>
  </si>
  <si>
    <t>F1 1993</t>
  </si>
  <si>
    <t>S1 713</t>
  </si>
  <si>
    <t>Mercedes-AMG Mercedes-AMG ONE 2021</t>
  </si>
  <si>
    <t>Mercedes-AMG
梅赛德斯-AMG</t>
  </si>
  <si>
    <t>Mercedes-AMG ONE 2021</t>
  </si>
  <si>
    <t>Mercedes-AMG GT Black Series 2021</t>
  </si>
  <si>
    <t>GT Black Series 2021</t>
  </si>
  <si>
    <t>S1 782</t>
  </si>
  <si>
    <t>Mercedes-AMG SL 63 2021</t>
  </si>
  <si>
    <t>SL 63 2021</t>
  </si>
  <si>
    <t>A 690</t>
  </si>
  <si>
    <t>Mercedes-AMG GT Black Series 'Welcome Pack' 2020</t>
  </si>
  <si>
    <t>GT Black Series 'Welcome Pack' 2020</t>
  </si>
  <si>
    <t>Mercedes-AMG SLC 43 Final Edition 2020</t>
  </si>
  <si>
    <t>SLC 43 Final Edition 2020</t>
  </si>
  <si>
    <t>Mercedes-AMG E 63 S 2018</t>
  </si>
  <si>
    <t>E 63 S 2018</t>
  </si>
  <si>
    <t>A 674</t>
  </si>
  <si>
    <t>Mercedes-AMG GT 4-Door Coupé 2018</t>
  </si>
  <si>
    <t>GT 4-Door Coupé 2018</t>
  </si>
  <si>
    <t>A 664</t>
  </si>
  <si>
    <t>Mercedes-AMG GT R 2017</t>
  </si>
  <si>
    <t>GT R 2017</t>
  </si>
  <si>
    <t>S1 764</t>
  </si>
  <si>
    <t>Mercedes-AMG C 63 S Coupé 2016</t>
  </si>
  <si>
    <t>C 63 S Coupé 2016</t>
  </si>
  <si>
    <t>Mercedes-AMG GT S 2015</t>
  </si>
  <si>
    <t>GT S 2015</t>
  </si>
  <si>
    <t>A 691</t>
  </si>
  <si>
    <t>Mercedes-Benz X-Class 2018</t>
  </si>
  <si>
    <t>Mercedes-Benz
梅赛德斯-奔驰</t>
  </si>
  <si>
    <t>X-Class 2018</t>
  </si>
  <si>
    <t>D 258</t>
  </si>
  <si>
    <t>Mercedes-Benz G 63 AMG 6x6 2014</t>
  </si>
  <si>
    <t>G 63 AMG 6x6 2014</t>
  </si>
  <si>
    <t>Mercedes-Benz Unimog U5023 2014</t>
  </si>
  <si>
    <t>Unimog U5023 2014</t>
  </si>
  <si>
    <t>Mercedes-Benz A 45 AMG 2013</t>
  </si>
  <si>
    <t>A 45 AMG 2013</t>
  </si>
  <si>
    <t>B 582</t>
  </si>
  <si>
    <t>Mercedes-Benz G 65 AMG 2013</t>
  </si>
  <si>
    <t>G 65 AMG 2013</t>
  </si>
  <si>
    <t>车展, Earn 200 points in the "Trailblazers" category in the Collection Journal</t>
  </si>
  <si>
    <t>Mercedes-Benz C 63 AMG Coupé Black Series 2012</t>
  </si>
  <si>
    <t>C 63 AMG Coupé Black Series 2012</t>
  </si>
  <si>
    <t>A 654</t>
  </si>
  <si>
    <t>Mercedes-Benz SL 65 AMG Black Series 2009</t>
  </si>
  <si>
    <t>SL 65 AMG Black Series 2009</t>
  </si>
  <si>
    <t>Mercedes-Benz AMG CLK GTR 1998</t>
  </si>
  <si>
    <t>AMG CLK GTR 1998</t>
  </si>
  <si>
    <t>1998</t>
  </si>
  <si>
    <t>Mercedes-Benz 190E 2.5-16 Evolution II Forza Edition 1990</t>
  </si>
  <si>
    <t>190E 2.5-16 Evolution II Forza Edition 1990</t>
  </si>
  <si>
    <t>Mercedes-Benz 190E 2.5-16 Evolution II 1990</t>
  </si>
  <si>
    <t>190E 2.5-16 Evolution II 1990</t>
  </si>
  <si>
    <t>C 460</t>
  </si>
  <si>
    <t>Mercedes-Benz AMG Hammer Coupe 1987</t>
  </si>
  <si>
    <t>AMG Hammer Coupe 1987</t>
  </si>
  <si>
    <t>Mercedes-Benz 300 SLR 1955</t>
  </si>
  <si>
    <t>300 SLR 1955</t>
  </si>
  <si>
    <t>B 599</t>
  </si>
  <si>
    <t>Mercedes-Benz 300 SL Coupé 1954</t>
  </si>
  <si>
    <t>300 SL Coupé 1954</t>
  </si>
  <si>
    <t>1954</t>
  </si>
  <si>
    <t>Meyers Manx 2.0 2023</t>
  </si>
  <si>
    <t>Meyers</t>
  </si>
  <si>
    <t>Manx 2.0 2023</t>
  </si>
  <si>
    <t>Buggies</t>
  </si>
  <si>
    <t>Meyers Manx 1971</t>
  </si>
  <si>
    <t>Manx 1971</t>
  </si>
  <si>
    <t>1971</t>
  </si>
  <si>
    <t>D 201</t>
  </si>
  <si>
    <t>MG Metro 6R4 1986</t>
  </si>
  <si>
    <t>MG</t>
  </si>
  <si>
    <t>Metro 6R4 1986</t>
  </si>
  <si>
    <t>车展, 抽奖, Earn 2,500 points in the "Dirt Racing" category in the Collection Journal</t>
  </si>
  <si>
    <t>A 627</t>
  </si>
  <si>
    <t>MINI John Cooper Works GP 2021</t>
  </si>
  <si>
    <t>MINI</t>
  </si>
  <si>
    <t>John Cooper Works GP 2021</t>
  </si>
  <si>
    <t>MINI X-Raid John Cooper Works Buggy 2018</t>
  </si>
  <si>
    <t>X-Raid John Cooper Works Buggy 2018</t>
  </si>
  <si>
    <t>Earn 6,910 points in the "Cross Country Racing" category in the Collection Journal</t>
  </si>
  <si>
    <t>MINI X-Raid All4 Racing Countryman 2013</t>
  </si>
  <si>
    <t>X-Raid All4 Racing Countryman 2013</t>
  </si>
  <si>
    <t>B 523</t>
  </si>
  <si>
    <t>MINI John Cooper Works GP 2012</t>
  </si>
  <si>
    <t>John Cooper Works GP 2012</t>
  </si>
  <si>
    <t>MINI Cooper S 1965</t>
  </si>
  <si>
    <t>Cooper S 1965</t>
  </si>
  <si>
    <t>D 158</t>
  </si>
  <si>
    <t>Mitsubishi Lancer Evolution X GSR 2008</t>
  </si>
  <si>
    <t>Mitsubishi
三菱</t>
  </si>
  <si>
    <t>Lancer Evolution X GSR 2008</t>
  </si>
  <si>
    <t>B 534</t>
  </si>
  <si>
    <t>Modern Rally</t>
  </si>
  <si>
    <t>Mitsubishi Lancer Evolution IX MR 2006</t>
  </si>
  <si>
    <t>Lancer Evolution IX MR 2006</t>
  </si>
  <si>
    <t>B 521</t>
  </si>
  <si>
    <t>Mitsubishi #1 Sierra Sierra Enterprises Lancer Evolution Time Attack 2005</t>
  </si>
  <si>
    <t>#1 Sierra Sierra Enterprises Lancer Evolution Time Attack 2005</t>
  </si>
  <si>
    <t>车房宝物: North Shimanoyama</t>
  </si>
  <si>
    <t>R 962</t>
  </si>
  <si>
    <t>Mitsubishi Lancer Evolution VIII MR 'Welcome Pack' 2004</t>
  </si>
  <si>
    <t>Lancer Evolution VIII MR 'Welcome Pack' 2004</t>
  </si>
  <si>
    <t>Mitsubishi Lancer Evolution VIII MR 2004</t>
  </si>
  <si>
    <t>Lancer Evolution VIII MR 2004</t>
  </si>
  <si>
    <t>B 555</t>
  </si>
  <si>
    <t>Mitsubishi Lancer Evolution VI GSR TM Edition 2001</t>
  </si>
  <si>
    <t>Lancer Evolution VI GSR TM Edition 2001</t>
  </si>
  <si>
    <t>车展, 剧情：黄色腕带</t>
  </si>
  <si>
    <t>B 574</t>
  </si>
  <si>
    <t>Mitsubishi GTO 1997</t>
  </si>
  <si>
    <t>GTO 1997</t>
  </si>
  <si>
    <t>C 495</t>
  </si>
  <si>
    <t>Mitsubishi Montero Evolution 1997</t>
  </si>
  <si>
    <t>Montero Evolution 1997</t>
  </si>
  <si>
    <t>车房宝物: East Shimanoyama</t>
  </si>
  <si>
    <t>D 346</t>
  </si>
  <si>
    <t>Mitsubishi Lancer Evolution III GSR 1995</t>
  </si>
  <si>
    <t>Lancer Evolution III GSR 1995</t>
  </si>
  <si>
    <t>密藏座驾: West Takashiro</t>
  </si>
  <si>
    <t>B 517</t>
  </si>
  <si>
    <t>Mitsubishi Eclipse GSX 1995</t>
  </si>
  <si>
    <t>Eclipse GSX 1995</t>
  </si>
  <si>
    <t>C 436</t>
  </si>
  <si>
    <t>Mitsubishi Montero Exceed 2800 TD 1995</t>
  </si>
  <si>
    <t>Montero Exceed 2800 TD 1995</t>
  </si>
  <si>
    <t>D 190</t>
  </si>
  <si>
    <t>Mitsubishi Galant VR-4 1992</t>
  </si>
  <si>
    <t>Galant VR-4 1992</t>
  </si>
  <si>
    <t>Mitsubishi #269 Attacking The Clock Racing Minicab Time Attack 1990</t>
  </si>
  <si>
    <t>#269 Attacking The Clock Racing Minicab Time Attack 1990</t>
  </si>
  <si>
    <t>D 166</t>
  </si>
  <si>
    <t>Nissan GT-R NISMO 2024</t>
  </si>
  <si>
    <t>Nissan
日产</t>
  </si>
  <si>
    <t>GT-R NISMO 2024</t>
  </si>
  <si>
    <t>车展, Earn 1,000 points in the "Touge &amp; Street Rivals" category in the Collection Journal</t>
  </si>
  <si>
    <t>S1 741</t>
  </si>
  <si>
    <t>Nissan Z NISMO 2024</t>
  </si>
  <si>
    <t>Z NISMO 2024</t>
  </si>
  <si>
    <t>Nissan GT-R NISMO (R35) 2020</t>
  </si>
  <si>
    <t>GT-R NISMO (R35) 2020</t>
  </si>
  <si>
    <t>Nissan 370Z Nismo 2019</t>
  </si>
  <si>
    <t>370Z Nismo 2019</t>
  </si>
  <si>
    <t>A 603</t>
  </si>
  <si>
    <t>Nissan GT-R (R35) 2017</t>
  </si>
  <si>
    <t>GT-R (R35) 2017</t>
  </si>
  <si>
    <t>Nissan GT-R Black Edition (R35) Forza Edition 2012</t>
  </si>
  <si>
    <t>GT-R Black Edition (R35) Forza Edition 2012</t>
  </si>
  <si>
    <t>Nissan GT-R Black Edition (R35) 2012</t>
  </si>
  <si>
    <t>GT-R Black Edition (R35) 2012</t>
  </si>
  <si>
    <t>S1 703</t>
  </si>
  <si>
    <t>Nissan 370Z 2010</t>
  </si>
  <si>
    <t>370Z 2010</t>
  </si>
  <si>
    <t>Nissan Fairlady Z 2003</t>
  </si>
  <si>
    <t>Fairlady Z 2003</t>
  </si>
  <si>
    <t>Nissan Silvia Spec-R 2002</t>
  </si>
  <si>
    <t>Silvia Spec-R 2002</t>
  </si>
  <si>
    <t>Nissan #36 Dream Project S15 Silvia WTAC 2000</t>
  </si>
  <si>
    <t>#36 Dream Project S15 Silvia WTAC 2000</t>
  </si>
  <si>
    <t>R 996</t>
  </si>
  <si>
    <t>Nissan Skyline GT-R V·Spec II 2000</t>
  </si>
  <si>
    <t>Skyline GT-R V·Spec II 2000</t>
  </si>
  <si>
    <t>B 590</t>
  </si>
  <si>
    <t>Nissan #23 Pennzoil NISMO Skyline GT-R 1998</t>
  </si>
  <si>
    <t>#23 Pennzoil NISMO Skyline GT-R 1998</t>
  </si>
  <si>
    <t>车房宝物: West Takashiro</t>
  </si>
  <si>
    <t>Nissan R390 (GT1) 1998</t>
  </si>
  <si>
    <t>R390 (GT1) 1998</t>
  </si>
  <si>
    <t>车房宝物: Southwest Ohtani</t>
  </si>
  <si>
    <t>Nissan Skyline GT-R 40th Anniversary 1998</t>
  </si>
  <si>
    <t>Skyline GT-R 40th Anniversary 1998</t>
  </si>
  <si>
    <t>Nissan Silvia K's Aero 1998</t>
  </si>
  <si>
    <t>Silvia K's Aero 1998</t>
  </si>
  <si>
    <t>Nissan Skyline GT-R V-Spec 1997</t>
  </si>
  <si>
    <t>Skyline GT-R V-Spec 1997</t>
  </si>
  <si>
    <t>Nissan NISMO GT-R LM 1995</t>
  </si>
  <si>
    <t>NISMO GT-R LM 1995</t>
  </si>
  <si>
    <t>Nissan Stagea RS FOUR V 1997</t>
  </si>
  <si>
    <t>Stagea RS FOUR V 1997</t>
  </si>
  <si>
    <t>Nissan Gloria Gran Turismo 1995</t>
  </si>
  <si>
    <t>Gloria Gran Turismo 1995</t>
  </si>
  <si>
    <t>C 498</t>
  </si>
  <si>
    <t>Nissan Silvia K's 1994</t>
  </si>
  <si>
    <t>Silvia K's 1994</t>
  </si>
  <si>
    <t>Nissan Fairlady Z Version S Twin Turbo 1994</t>
  </si>
  <si>
    <t>Fairlady Z Version S Twin Turbo 1994</t>
  </si>
  <si>
    <t>Nissan #32 Skyline WTAC 'Xtreme GTR' 1993</t>
  </si>
  <si>
    <t>#32 Skyline WTAC 'Xtreme GTR' 1993</t>
  </si>
  <si>
    <t>R 923</t>
  </si>
  <si>
    <t>Nissan 240SX 1993</t>
  </si>
  <si>
    <t>240SX 1993</t>
  </si>
  <si>
    <t>D 339</t>
  </si>
  <si>
    <t>Nissan Skyline GT-R 1992</t>
  </si>
  <si>
    <t>Skyline GT-R 1992</t>
  </si>
  <si>
    <t>B 541</t>
  </si>
  <si>
    <t>Nissan Figaro 1991</t>
  </si>
  <si>
    <t>Figaro 1991</t>
  </si>
  <si>
    <t>密藏座驾: Southwest Tokyo</t>
  </si>
  <si>
    <t>D 234</t>
  </si>
  <si>
    <t>Nissan #12 Skyline GT-R (BNR32 Gr. A) JTC 1990</t>
  </si>
  <si>
    <t>#12 Skyline GT-R (BNR32 Gr. A) JTC 1990</t>
  </si>
  <si>
    <t>S2 858</t>
  </si>
  <si>
    <t>Nissan Pulsar GTI-R 1990</t>
  </si>
  <si>
    <t>Pulsar GTI-R 1990</t>
  </si>
  <si>
    <t>C 486</t>
  </si>
  <si>
    <t>Nissan S-Cargo Forza Edition 1989</t>
  </si>
  <si>
    <t>S-Cargo Forza Edition 1989</t>
  </si>
  <si>
    <t>Nissan Silvia K's 1989</t>
  </si>
  <si>
    <t>Silvia K's 1989</t>
  </si>
  <si>
    <t>Nissan PAO 1989</t>
  </si>
  <si>
    <t>PAO 1989</t>
  </si>
  <si>
    <t>车房宝物: West Minamino</t>
  </si>
  <si>
    <t>D 145</t>
  </si>
  <si>
    <t>Nissan S-Cargo 1989</t>
  </si>
  <si>
    <t>S-Cargo 1989</t>
  </si>
  <si>
    <t>D 131</t>
  </si>
  <si>
    <t>Nissan Skyline GTS-R 1987</t>
  </si>
  <si>
    <t>Skyline GTS-R 1987</t>
  </si>
  <si>
    <t>Nissan Be-1 1987</t>
  </si>
  <si>
    <t>Be-1 1987</t>
  </si>
  <si>
    <t>D 175</t>
  </si>
  <si>
    <t>Nissan Safari Turbo 1985</t>
  </si>
  <si>
    <t>Safari Turbo 1985</t>
  </si>
  <si>
    <t>密藏座驾: North Ito</t>
  </si>
  <si>
    <t>D 123</t>
  </si>
  <si>
    <t>Nissan #11 Tomica Skyline Turbo Super Silhouette 1983</t>
  </si>
  <si>
    <t>#11 Tomica Skyline Turbo Super Silhouette 1983</t>
  </si>
  <si>
    <t>车房宝物: Central Ito</t>
  </si>
  <si>
    <t>S2 847</t>
  </si>
  <si>
    <t>Nissan Skyline H/T 2000GT-R 1973</t>
  </si>
  <si>
    <t>Skyline H/T 2000GT-R 1973</t>
  </si>
  <si>
    <t>Nissan Skyline 2000GT-R 1971</t>
  </si>
  <si>
    <t>Skyline 2000GT-R 1971</t>
  </si>
  <si>
    <t>车房宝物: Southwest Nangan</t>
  </si>
  <si>
    <t>D 380</t>
  </si>
  <si>
    <t>Nissan Fairlady Z 432 1969</t>
  </si>
  <si>
    <t>Fairlady Z 432 1969</t>
  </si>
  <si>
    <t>D 369</t>
  </si>
  <si>
    <t>Noble M600 2010</t>
  </si>
  <si>
    <t>Noble</t>
  </si>
  <si>
    <t>M600 2010</t>
  </si>
  <si>
    <t>S1 793</t>
  </si>
  <si>
    <t>Opel Manta 400 1984</t>
  </si>
  <si>
    <t>Opel
欧宝</t>
  </si>
  <si>
    <t>Manta 400 1984</t>
  </si>
  <si>
    <t>车展, Earn 1,075 points in the "Dirt Rivals" category in the Collection Journal</t>
  </si>
  <si>
    <t>Pagani Huayra R 2021</t>
  </si>
  <si>
    <t>Pagani
帕加尼</t>
  </si>
  <si>
    <t>Huayra R 2021</t>
  </si>
  <si>
    <t>R 954</t>
  </si>
  <si>
    <t>Pagani Huayra BC Coupe 2016</t>
  </si>
  <si>
    <t>Huayra BC Coupe 2016</t>
  </si>
  <si>
    <t>Pagani Zonda Cinque Roadster 2010</t>
  </si>
  <si>
    <t>Zonda Cinque Roadster 2010</t>
  </si>
  <si>
    <t>S2 812</t>
  </si>
  <si>
    <t>Pagani Zonda R 2009</t>
  </si>
  <si>
    <t>Zonda R 2009</t>
  </si>
  <si>
    <t>R 918</t>
  </si>
  <si>
    <t>Peel P50 1962</t>
  </si>
  <si>
    <t>Peel</t>
  </si>
  <si>
    <t>P50 1962</t>
  </si>
  <si>
    <t>Peel P50 Trolli Edition 1962</t>
  </si>
  <si>
    <t>P50 Trolli Edition 1962</t>
  </si>
  <si>
    <t>车展 (Promotional: Trolli)</t>
  </si>
  <si>
    <t>Penhall The Cholla 2011</t>
  </si>
  <si>
    <t>Penhall</t>
  </si>
  <si>
    <t>The Cholla 2011</t>
  </si>
  <si>
    <t>Peugeot 207 Super 2000 2007</t>
  </si>
  <si>
    <t>Peugeot
标致</t>
  </si>
  <si>
    <t>207 Super 2000 2007</t>
  </si>
  <si>
    <t>剧情：粉色腕带</t>
  </si>
  <si>
    <t>法国</t>
  </si>
  <si>
    <t>A 632</t>
  </si>
  <si>
    <t>Peugeot 205 Rallye 1991</t>
  </si>
  <si>
    <t>205 Rallye 1991</t>
  </si>
  <si>
    <t>Peugeot 205 Turbo 16 1984</t>
  </si>
  <si>
    <t>205 Turbo 16 1984</t>
  </si>
  <si>
    <t>车房宝物: Northwest Shimanoyama</t>
  </si>
  <si>
    <t>Plymouth Cuda 426 HEMI 1971</t>
  </si>
  <si>
    <t>Plymouth</t>
  </si>
  <si>
    <t>Cuda 426 HEMI 1971</t>
  </si>
  <si>
    <t>Plymouth Barracuda Formula S 1968</t>
  </si>
  <si>
    <t>Barracuda Formula S 1968</t>
  </si>
  <si>
    <t>C 445</t>
  </si>
  <si>
    <t>Plymouth Fury 1958</t>
  </si>
  <si>
    <t>Fury 1958</t>
  </si>
  <si>
    <t>1958</t>
  </si>
  <si>
    <t>D 361</t>
  </si>
  <si>
    <t>Polaris RZR Pro XP Ultimate 2021</t>
  </si>
  <si>
    <t>Polaris
北极星</t>
  </si>
  <si>
    <t>RZR Pro XP Ultimate 2021</t>
  </si>
  <si>
    <t>车展, Earn 2,500 points in the "Cross Country Racing" category in the Collection Journal</t>
  </si>
  <si>
    <t>C 496</t>
  </si>
  <si>
    <t>Polaris RZR Pro XP Factory Racing Limited Edition 2021</t>
  </si>
  <si>
    <t>RZR Pro XP Factory Racing Limited Edition 2021</t>
  </si>
  <si>
    <t>Pontiac Firebird Trans Am GTA 1987</t>
  </si>
  <si>
    <t>Pontiac
庞蒂亚克</t>
  </si>
  <si>
    <t>Firebird Trans Am GTA 1987</t>
  </si>
  <si>
    <t>D 382</t>
  </si>
  <si>
    <t>Pontiac Firebird Trans Am 1977</t>
  </si>
  <si>
    <t>Firebird Trans Am 1977</t>
  </si>
  <si>
    <t>D 311</t>
  </si>
  <si>
    <t>Porsche 911 Turbo S 2023</t>
  </si>
  <si>
    <t>Porsche
保时捷</t>
  </si>
  <si>
    <t>911 Turbo S 2023</t>
  </si>
  <si>
    <t>Porsche 911 GT3 RS 2023</t>
  </si>
  <si>
    <t>911 GT3 RS 2023</t>
  </si>
  <si>
    <t>S1 758</t>
  </si>
  <si>
    <t>Porsche 911 Rallye 2023</t>
  </si>
  <si>
    <t>911 Rallye 2023</t>
  </si>
  <si>
    <t>剧情：橙色腕带</t>
  </si>
  <si>
    <t>Porsche Mission R 2022</t>
  </si>
  <si>
    <t>Mission R 2022</t>
  </si>
  <si>
    <t>S2 865</t>
  </si>
  <si>
    <t>Porsche 718 Cayman GT4 RS 2022</t>
  </si>
  <si>
    <t>718 Cayman GT4 RS 2022</t>
  </si>
  <si>
    <t>车展, Earn 1,300 points in the "Road Rivals" category in the Collection Journal</t>
  </si>
  <si>
    <t>Porsche 911 GT3 2021</t>
  </si>
  <si>
    <t>911 GT3 2021</t>
  </si>
  <si>
    <t>Porsche Taycan Turbo S 2020</t>
  </si>
  <si>
    <t>Taycan Turbo S 2020</t>
  </si>
  <si>
    <t>S1 725</t>
  </si>
  <si>
    <t>Porsche #70 Porsche Motorsport 935 2019</t>
  </si>
  <si>
    <t>#70 Porsche Motorsport 935 2019</t>
  </si>
  <si>
    <t>S2 853</t>
  </si>
  <si>
    <t>Porsche 911 GT3 RS 2019</t>
  </si>
  <si>
    <t>911 GT3 RS 2019</t>
  </si>
  <si>
    <t>Porsche 911 Carrera S 2019</t>
  </si>
  <si>
    <t>911 Carrera S 2019</t>
  </si>
  <si>
    <t>Porsche 911 GT2 RS 2018</t>
  </si>
  <si>
    <t>911 GT2 RS 2018</t>
  </si>
  <si>
    <t>Porsche 718 Cayman GTS 2018</t>
  </si>
  <si>
    <t>718 Cayman GTS 2018</t>
  </si>
  <si>
    <t>A 675</t>
  </si>
  <si>
    <t>Porsche Cayenne Turbo 2018</t>
  </si>
  <si>
    <t>Cayenne Turbo 2018</t>
  </si>
  <si>
    <t>A 638</t>
  </si>
  <si>
    <t>Porsche Macan LPR Rally Raid 2018</t>
  </si>
  <si>
    <t>Macan LPR Rally Raid 2018</t>
  </si>
  <si>
    <t>Porsche 918 Spyder 2014</t>
  </si>
  <si>
    <t>918 Spyder 2014</t>
  </si>
  <si>
    <t>车展, Earn 3,700 points in the "Horizon Play" category in the Collection Journal</t>
  </si>
  <si>
    <t>Porsche 911 GT3 RS 4.0 2012</t>
  </si>
  <si>
    <t>911 GT3 RS 4.0 2012</t>
  </si>
  <si>
    <t>车展, Earn 2,500 points in the "Speed Zones" category in the Collection Journal</t>
  </si>
  <si>
    <t>Porsche Cayman GT3 WTAC 2005</t>
  </si>
  <si>
    <t>Cayman GT3 WTAC 2005</t>
  </si>
  <si>
    <t>S2 856</t>
  </si>
  <si>
    <t>Porsche 911 GT3 2004</t>
  </si>
  <si>
    <t>911 GT3 2004</t>
  </si>
  <si>
    <t>Porsche Carrera GT 2003</t>
  </si>
  <si>
    <t>Carrera GT 2003</t>
  </si>
  <si>
    <t>车辆熟练度奖励: Porsche 918 Spyder</t>
  </si>
  <si>
    <t>Porsche 911 GT1 Strassenversion 1997</t>
  </si>
  <si>
    <t>911 GT1 Strassenversion 1997</t>
  </si>
  <si>
    <t>S1 746</t>
  </si>
  <si>
    <t>Porsche 911 GT2 1995</t>
  </si>
  <si>
    <t>911 GT2 1995</t>
  </si>
  <si>
    <t>Porsche 911 Turbo S Leichtbau 1993</t>
  </si>
  <si>
    <t>911 Turbo S Leichtbau 1993</t>
  </si>
  <si>
    <t>Porsche 968 Turbo S 1993</t>
  </si>
  <si>
    <t>968 Turbo S 1993</t>
  </si>
  <si>
    <t>Porsche 928 GTS 1993</t>
  </si>
  <si>
    <t>928 GTS 1993</t>
  </si>
  <si>
    <t>Porsche 944 Turbo 1989</t>
  </si>
  <si>
    <t>944 Turbo 1989</t>
  </si>
  <si>
    <t>B 539</t>
  </si>
  <si>
    <t>Porsche 959 1987</t>
  </si>
  <si>
    <t>959 1987</t>
  </si>
  <si>
    <t>密藏座驾: North Shimanoyama</t>
  </si>
  <si>
    <t>A 661</t>
  </si>
  <si>
    <t>Porsche #185 959 Prodrive Rally Raid 1986</t>
  </si>
  <si>
    <t>#185 959 Prodrive Rally Raid 1985</t>
  </si>
  <si>
    <t>Porsche 911 Turbo 3.3 1982</t>
  </si>
  <si>
    <t>911 Turbo 3.3 1982</t>
  </si>
  <si>
    <t>车房宝物: South Ohtani</t>
  </si>
  <si>
    <t>B 550</t>
  </si>
  <si>
    <t>Porsche 911 Carrera RS 1973</t>
  </si>
  <si>
    <t>911 Carrera RS 1973</t>
  </si>
  <si>
    <t>C 490</t>
  </si>
  <si>
    <t>Porsche #3 917 LH Forza Edition 1970</t>
  </si>
  <si>
    <t>#3 917 LH Forza Edition 1970</t>
  </si>
  <si>
    <t>Porsche #3 917 LH 1970</t>
  </si>
  <si>
    <t>#3 917 LH 1970</t>
  </si>
  <si>
    <t>车展, Earn 3,000 points in the "Car Collection" category in the Collection Journal</t>
  </si>
  <si>
    <t>S1 776</t>
  </si>
  <si>
    <t>Radical RXC Turbo 2015</t>
  </si>
  <si>
    <t>Radical</t>
  </si>
  <si>
    <t>RXC Turbo 2015</t>
  </si>
  <si>
    <t>S2 842</t>
  </si>
  <si>
    <t>Ram 1500 TRX 2024</t>
  </si>
  <si>
    <t>Ram</t>
  </si>
  <si>
    <t>1500 TRX 2024</t>
  </si>
  <si>
    <t>Reliant Supervan III 1972</t>
  </si>
  <si>
    <t>Reliant</t>
  </si>
  <si>
    <t>Supervan III 1972</t>
  </si>
  <si>
    <t>Renault Megane R.S. 2018</t>
  </si>
  <si>
    <t>Renault
雷诺</t>
  </si>
  <si>
    <t>Megane R.S. 2018</t>
  </si>
  <si>
    <t>Renault Megane RS 250 2010</t>
  </si>
  <si>
    <t>Megane RS 250 2010</t>
  </si>
  <si>
    <t>B 538</t>
  </si>
  <si>
    <t>Renault Mégane R26.R 2008</t>
  </si>
  <si>
    <t>Mégane R26.R 2008</t>
  </si>
  <si>
    <t>B 561</t>
  </si>
  <si>
    <t>Renault Clio Williams 1993</t>
  </si>
  <si>
    <t>Clio Williams 1993</t>
  </si>
  <si>
    <t>D 400</t>
  </si>
  <si>
    <t>Renault 5 Turbo 1980</t>
  </si>
  <si>
    <t>5 Turbo 1980</t>
  </si>
  <si>
    <t>Renault 8 Gordini 1967</t>
  </si>
  <si>
    <t>8 Gordini 1967</t>
  </si>
  <si>
    <t>D 322</t>
  </si>
  <si>
    <t>Rimac Nevera 2021</t>
  </si>
  <si>
    <t>Rimac</t>
  </si>
  <si>
    <t>Nevera 2021</t>
  </si>
  <si>
    <t>克罗地亚</t>
  </si>
  <si>
    <t>RIVIAN R1T 2021</t>
  </si>
  <si>
    <t>RIVIAN</t>
  </si>
  <si>
    <t>R1T 2021</t>
  </si>
  <si>
    <t>RJ Anderson #37 Polaris RZR Pro 4 Truck 2021</t>
  </si>
  <si>
    <t>RJ Anderson</t>
  </si>
  <si>
    <t>#37 Polaris RZR Pro 4 Truck 2021</t>
  </si>
  <si>
    <t>RJ Anderson #37 Polaris RZR Pro 2 Truck 2016</t>
  </si>
  <si>
    <t>#37 Polaris RZR Pro 2 Truck 2016</t>
  </si>
  <si>
    <t>车展, Earn 975 points in the "Cross Country Rivals" category in the Collection Journal</t>
  </si>
  <si>
    <t>Saleen S7 LM 2017</t>
  </si>
  <si>
    <t>Saleen
赛麟</t>
  </si>
  <si>
    <t>S7 LM 2017</t>
  </si>
  <si>
    <t>Schuppan 962CR 1993</t>
  </si>
  <si>
    <t>Schuppan</t>
  </si>
  <si>
    <t>962CR 1993</t>
  </si>
  <si>
    <t>Shelby Cobra 427 S/C 1965</t>
  </si>
  <si>
    <t>Shelby</t>
  </si>
  <si>
    <t>Cobra 427 S/C 1965</t>
  </si>
  <si>
    <t>Earn 2,700 points in the "Car Collection" category in the Collection Journal</t>
  </si>
  <si>
    <t>Shelby Cobra Daytona Coupe 1965</t>
  </si>
  <si>
    <t>Cobra Daytona Coupe 1965</t>
  </si>
  <si>
    <t>B 515</t>
  </si>
  <si>
    <t>SIERRA Cars RX3 2021</t>
  </si>
  <si>
    <t>SIERRA Cars</t>
  </si>
  <si>
    <t>RX3 2021</t>
  </si>
  <si>
    <t>SIERRA Cars 700R 2021</t>
  </si>
  <si>
    <t>700R 2021</t>
  </si>
  <si>
    <t>SIERRA Cars #23 Yokohama ALPHA 2020</t>
  </si>
  <si>
    <t>#23 Yokohama ALPHA 2020</t>
  </si>
  <si>
    <t>SRT Viper GTS 2013</t>
  </si>
  <si>
    <t>SRT</t>
  </si>
  <si>
    <t>Viper GTS 2013</t>
  </si>
  <si>
    <t>Subaru BRZ Forza Edition 2022</t>
  </si>
  <si>
    <t>Subaru
斯巴鲁</t>
  </si>
  <si>
    <t>BRZ Forza Edition 2022</t>
  </si>
  <si>
    <t>二手车 (Sotoyama Ski Resort)</t>
  </si>
  <si>
    <t>Subaru BRZ 2022</t>
  </si>
  <si>
    <t>BRZ 2022</t>
  </si>
  <si>
    <t>Subaru WRX 2022</t>
  </si>
  <si>
    <t>WRX 2022</t>
  </si>
  <si>
    <t>Subaru STI S209 2019</t>
  </si>
  <si>
    <t>STI S209 2019</t>
  </si>
  <si>
    <t>B 575</t>
  </si>
  <si>
    <t>Subaru WRX STI ARX Supercar 2018</t>
  </si>
  <si>
    <t>WRX STI ARX Supercar 2018</t>
  </si>
  <si>
    <t>剧情：紫色腕带</t>
  </si>
  <si>
    <t>Subaru WRX STI 2015</t>
  </si>
  <si>
    <t>WRX STI 2015</t>
  </si>
  <si>
    <t>Subaru BRZ 2013</t>
  </si>
  <si>
    <t>BRZ 2013</t>
  </si>
  <si>
    <t>C 463</t>
  </si>
  <si>
    <t>Subaru WRX STI 2011</t>
  </si>
  <si>
    <t>WRX STI 2011</t>
  </si>
  <si>
    <t>Subaru IMPREZA WRX STI 2008</t>
  </si>
  <si>
    <t>IMPREZA WRX STI 2008</t>
  </si>
  <si>
    <t>Subaru IMPREZA WRX STI 2005</t>
  </si>
  <si>
    <t>IMPREZA WRX STI 2005</t>
  </si>
  <si>
    <t>Subaru LEGACY B4 2.0 GT 2005</t>
  </si>
  <si>
    <t>LEGACY B4 2.0 GT 2005</t>
  </si>
  <si>
    <t>Subaru IMPREZA WRX STI 2004</t>
  </si>
  <si>
    <t>IMPREZA WRX STI 2004</t>
  </si>
  <si>
    <t>B 552</t>
  </si>
  <si>
    <t>Subaru Impreza 22B-STi Version 1998</t>
  </si>
  <si>
    <t>Impreza 22B-STi Version 1998</t>
  </si>
  <si>
    <t>Subaru SVX 1996</t>
  </si>
  <si>
    <t>SVX 1996</t>
  </si>
  <si>
    <t>C 466</t>
  </si>
  <si>
    <t>Subaru Vivio RX-R Forza Edition 1994</t>
  </si>
  <si>
    <t>Vivio RX-R Forza Edition 1994</t>
  </si>
  <si>
    <t>Earn 3,250 points in the "Horizon Life Events" category in the Collection Journal</t>
  </si>
  <si>
    <t>Subaru Vivio RX-R 1994</t>
  </si>
  <si>
    <t>Vivio RX-R 1994</t>
  </si>
  <si>
    <t>D 281</t>
  </si>
  <si>
    <t>Subaru LEGACY RS 1990</t>
  </si>
  <si>
    <t>LEGACY RS 1990</t>
  </si>
  <si>
    <t>C 406</t>
  </si>
  <si>
    <t>Subaru BRAT GL 1980</t>
  </si>
  <si>
    <t>BRAT GL 1980</t>
  </si>
  <si>
    <t>D 159</t>
  </si>
  <si>
    <t>Toyota Land Cruiser 2025</t>
  </si>
  <si>
    <t>Toyota
丰田</t>
  </si>
  <si>
    <t>Land Cruiser 2025</t>
  </si>
  <si>
    <t>Toyota GR Corolla 2023</t>
  </si>
  <si>
    <t>GR Corolla 2023</t>
  </si>
  <si>
    <t>B 596</t>
  </si>
  <si>
    <t>Toyota Camry TRD 2023</t>
  </si>
  <si>
    <t>Camry TRD 2023</t>
  </si>
  <si>
    <t>B 525</t>
  </si>
  <si>
    <t>Toyota GR86 2022</t>
  </si>
  <si>
    <t>GR86 2022</t>
  </si>
  <si>
    <t>车展, 抽奖, 剧情：黄色腕带</t>
  </si>
  <si>
    <t>Toyota GR Yaris 2021</t>
  </si>
  <si>
    <t>GR Yaris 2021</t>
  </si>
  <si>
    <t>B 558</t>
  </si>
  <si>
    <t>Toyota GR Supra 2020</t>
  </si>
  <si>
    <t>GR Supra 2020</t>
  </si>
  <si>
    <t>车展, 抽奖, Earn 1,000 points in the "Discovery" category in the Collection Journal</t>
  </si>
  <si>
    <t>A 616</t>
  </si>
  <si>
    <t>Toyota Tacoma TRD Pro Forza Edition 2019</t>
  </si>
  <si>
    <t>Tacoma TRD Pro Forza Edition 2019</t>
  </si>
  <si>
    <t>Toyota 4Runner TRD Pro 2019</t>
  </si>
  <si>
    <t>4Runner TRD Pro 2019</t>
  </si>
  <si>
    <t>C 421</t>
  </si>
  <si>
    <t>Toyota Tacoma TRD Pro 2019</t>
  </si>
  <si>
    <t>Tacoma TRD Pro 2019</t>
  </si>
  <si>
    <t>C 409</t>
  </si>
  <si>
    <t>Toyota JPN Taxi 2017</t>
  </si>
  <si>
    <t>JPN Taxi 2017</t>
  </si>
  <si>
    <t>D 248</t>
  </si>
  <si>
    <t>Toyota Land Cruiser Arctic Trucks AT37 2016</t>
  </si>
  <si>
    <t>Land Cruiser Arctic Trucks AT37 2016</t>
  </si>
  <si>
    <t>D 332</t>
  </si>
  <si>
    <t>Toyota 86 'Stories' 2013</t>
  </si>
  <si>
    <t>86 'Stories' 2013</t>
  </si>
  <si>
    <t>Earn 1,800 points in the "Yuji's Auto" category in the Collection Journal</t>
  </si>
  <si>
    <t>Toyota 86 2013</t>
  </si>
  <si>
    <t>86 2013</t>
  </si>
  <si>
    <t>Toyota Crown Super Deluxe Taxi 2005</t>
  </si>
  <si>
    <t>Crown Super Deluxe Taxi 2005</t>
  </si>
  <si>
    <t>D 181</t>
  </si>
  <si>
    <t>Toyota Celica Sport Specialty II 2003</t>
  </si>
  <si>
    <t>Celica Sport Specialty II 2003</t>
  </si>
  <si>
    <t>C 433</t>
  </si>
  <si>
    <t>Toyota Altezza RS200 Z EDITION 1999</t>
  </si>
  <si>
    <t>Altezza RS200 Z EDITION 1999</t>
  </si>
  <si>
    <t>C 461</t>
  </si>
  <si>
    <t>Toyota Supra RZ 1998</t>
  </si>
  <si>
    <t>Supra RZ 1998</t>
  </si>
  <si>
    <t>车展, 抽奖, 二手车, Earn 250 points in "Touge &amp; Street Racing" category in the Collection Journal</t>
  </si>
  <si>
    <t>Toyota Chaser 2.5 Tourer V 1997</t>
  </si>
  <si>
    <t>Chaser 2.5 Tourer V 1997</t>
  </si>
  <si>
    <t>车展, Earn 2,000 points in the "Photography" category in the Collection Journal</t>
  </si>
  <si>
    <t>B 504</t>
  </si>
  <si>
    <t>Toyota Soarer 2.5 GT-T 1997</t>
  </si>
  <si>
    <t>Soarer 2.5 GT-T 1997</t>
  </si>
  <si>
    <t>抽奖, Earn 250 points in the "Garages" category in the Collection Journal</t>
  </si>
  <si>
    <t>C 491</t>
  </si>
  <si>
    <t>Toyota Starlet Glanza V 1996</t>
  </si>
  <si>
    <t>Starlet Glanza V 1996</t>
  </si>
  <si>
    <t>Toyota J&amp;J Motorsport Supra WTAC 1995</t>
  </si>
  <si>
    <t>J&amp;J Motorsport Supra WTAC 1995</t>
  </si>
  <si>
    <t>S2 828</t>
  </si>
  <si>
    <t>Toyota MR2 GT 1995</t>
  </si>
  <si>
    <t>MR2 GT 1995</t>
  </si>
  <si>
    <t>B 522</t>
  </si>
  <si>
    <t>Toyota Celica GT-Four ST205 1994</t>
  </si>
  <si>
    <t>Celica GT-Four ST205 1994</t>
  </si>
  <si>
    <t>车展, 抽奖, Complete the Initial Drive</t>
  </si>
  <si>
    <t>Toyota #1 T100 Baja Truck 1993</t>
  </si>
  <si>
    <t>#1 T100 Baja Truck 1993</t>
  </si>
  <si>
    <t>B 584</t>
  </si>
  <si>
    <t>Toyota Supra 2.0 GT 1992</t>
  </si>
  <si>
    <t>Supra 2.0 GT 1992</t>
  </si>
  <si>
    <t>Toyota Celica GT-Four RC ST185 1992</t>
  </si>
  <si>
    <t>Celica GT-Four RC ST185 1992</t>
  </si>
  <si>
    <t>C 438</t>
  </si>
  <si>
    <t>Toyota Chaser GT Twin Turbo 1991</t>
  </si>
  <si>
    <t>Chaser GT Twin Turbo 1991</t>
  </si>
  <si>
    <t>Toyota Sera 1991</t>
  </si>
  <si>
    <t>Sera 1991</t>
  </si>
  <si>
    <t>D 344</t>
  </si>
  <si>
    <t>Toyota MR2 SC 1989</t>
  </si>
  <si>
    <t>MR2 SC 1989</t>
  </si>
  <si>
    <t>D 397</t>
  </si>
  <si>
    <t>Toyota Sprinter Trueno GT-APEX Forza Edition 1985</t>
  </si>
  <si>
    <t>Sprinter Trueno GT-APEX Forza Edition 1985</t>
  </si>
  <si>
    <t>Earn 5,000 points in the "Master Explorer" category in the Collection Journal</t>
  </si>
  <si>
    <t>Toyota Sprinter Trueno GT Apex 1985</t>
  </si>
  <si>
    <t>Sprinter Trueno GT Apex 1985</t>
  </si>
  <si>
    <t>D 376</t>
  </si>
  <si>
    <t>Toyota FJ40 1979</t>
  </si>
  <si>
    <t>FJ40 1979</t>
  </si>
  <si>
    <t>D 157</t>
  </si>
  <si>
    <t>Toyota Corolla SR5 1974</t>
  </si>
  <si>
    <t>Corolla SR5 1974</t>
  </si>
  <si>
    <t>D 197</t>
  </si>
  <si>
    <t>Toyota 2000GT 1969</t>
  </si>
  <si>
    <t>2000GT 1969</t>
  </si>
  <si>
    <t>车房宝物: North Ito</t>
  </si>
  <si>
    <t>D 377</t>
  </si>
  <si>
    <t>Toyota Sports 800 1965</t>
  </si>
  <si>
    <t>Sports 800 1965</t>
  </si>
  <si>
    <t>抽奖, Earn 4,000 points in the "Regional Mascots" category in the Collection Journal</t>
  </si>
  <si>
    <t>D 141</t>
  </si>
  <si>
    <t>Toyota Sports 800 Fanta Edition 1965</t>
  </si>
  <si>
    <t>Sports 800 Fanta Edition 1965</t>
  </si>
  <si>
    <t>车展 (Promotional: Fanta)</t>
  </si>
  <si>
    <t>TVR Griffith 2018</t>
  </si>
  <si>
    <t>TVR</t>
  </si>
  <si>
    <t>Griffith 2018</t>
  </si>
  <si>
    <t>S1 729</t>
  </si>
  <si>
    <t>TVR Sagaris 2005</t>
  </si>
  <si>
    <t>Sagaris 2005</t>
  </si>
  <si>
    <t>TVR Cerbera Speed 12 1998</t>
  </si>
  <si>
    <t>Cerbera Speed 12 1998</t>
  </si>
  <si>
    <t>Ultima Evolution Coupe 1020 2015</t>
  </si>
  <si>
    <t>Ultima</t>
  </si>
  <si>
    <t>Evolution Coupe 1020 2015</t>
  </si>
  <si>
    <t>Volkswagen Golf R 2022</t>
  </si>
  <si>
    <t>Volkswagen
大众</t>
  </si>
  <si>
    <t>Golf R 2022</t>
  </si>
  <si>
    <t>Volkswagen Golf R 2021</t>
  </si>
  <si>
    <t>Golf R 2021</t>
  </si>
  <si>
    <t>Volkswagen #34 Volkswagen Andretti Rally Cross Beetle 2017</t>
  </si>
  <si>
    <t>#34 Andretti Rally Cross Beetle 2017</t>
  </si>
  <si>
    <t>Volkswagen Golf R 2014</t>
  </si>
  <si>
    <t>Golf R 2014</t>
  </si>
  <si>
    <t>Volkswagen Scirocco R 2011</t>
  </si>
  <si>
    <t>Scirocco R 2011</t>
  </si>
  <si>
    <t>Volkswagen Golf R 2010</t>
  </si>
  <si>
    <t>Golf R 2010</t>
  </si>
  <si>
    <t>Volkswagen Corrado VR6 1995</t>
  </si>
  <si>
    <t>Corrado VR6 1995</t>
  </si>
  <si>
    <t>C 426</t>
  </si>
  <si>
    <t>Volkswagen Golf Gti 16v Mk2 1992</t>
  </si>
  <si>
    <t>Golf Gti 16v Mk2 1992</t>
  </si>
  <si>
    <t>D 308</t>
  </si>
  <si>
    <t>Volkswagen Rallye Golf 1989</t>
  </si>
  <si>
    <t>Rallye Golf 1989</t>
  </si>
  <si>
    <t>C 440</t>
  </si>
  <si>
    <t>Volkswagen Golf GTI 1983</t>
  </si>
  <si>
    <t>Golf GTI 1983</t>
  </si>
  <si>
    <t>D 314</t>
  </si>
  <si>
    <t>Volkswagen Pickup LX 1982</t>
  </si>
  <si>
    <t>Pickup LX 1982</t>
  </si>
  <si>
    <t>Volkswagen Class 5/1600 Baja Bug 1969</t>
  </si>
  <si>
    <t>Class 5/1600 Baja Bug 1969</t>
  </si>
  <si>
    <t>D 260</t>
  </si>
  <si>
    <t>Volkswagen Beetle 1963</t>
  </si>
  <si>
    <t>Beetle 1963</t>
  </si>
  <si>
    <t>1963</t>
  </si>
  <si>
    <t>Volkswagen Type 2 De Luxe 1963</t>
  </si>
  <si>
    <t>Type 2 De Luxe 1963</t>
  </si>
  <si>
    <t>车展, Earn 750 points in the "Houses" category in the Collection Journal</t>
  </si>
  <si>
    <t>Volvo 242 Turbo Evolution 1983</t>
  </si>
  <si>
    <t>Volvo
沃尔沃</t>
  </si>
  <si>
    <t>242 Turbo Evolution 1983</t>
  </si>
  <si>
    <t>Wuling Hongguang Mini EV 2022</t>
  </si>
  <si>
    <t>Wuling
五菱</t>
  </si>
  <si>
    <t>Hongguang Mini EV 2022</t>
  </si>
  <si>
    <t>中国</t>
  </si>
  <si>
    <t>Wuling Sunshine S Forza Edition 2020</t>
  </si>
  <si>
    <t>Sunshine S Forza Edition 2020</t>
  </si>
  <si>
    <t>Wuling Sunshine S 2013</t>
  </si>
  <si>
    <t>Sunshine S 2013</t>
  </si>
  <si>
    <t>D 107</t>
  </si>
  <si>
    <t>Zenvo TSR-S 2019</t>
  </si>
  <si>
    <t>Zenvo</t>
  </si>
  <si>
    <t>TSR-S 2019</t>
  </si>
  <si>
    <t>丹麦</t>
  </si>
  <si>
    <t>R 906</t>
  </si>
  <si>
    <t>car_type_order</t>
  </si>
  <si>
    <t>沙滩车</t>
  </si>
  <si>
    <t>经典肌肉车</t>
  </si>
  <si>
    <t>经典赛车</t>
  </si>
  <si>
    <t>经典拉力赛车</t>
  </si>
  <si>
    <t>经典跑车</t>
  </si>
  <si>
    <t>狂热跑车</t>
  </si>
  <si>
    <t>漂移赛车</t>
  </si>
  <si>
    <t>家庭多用</t>
  </si>
  <si>
    <t>极限赛道玩具</t>
  </si>
  <si>
    <t>GT 赛车</t>
  </si>
  <si>
    <t>高性能掀背车</t>
  </si>
  <si>
    <t>顶级超跑</t>
  </si>
  <si>
    <t>现代肌肉车</t>
  </si>
  <si>
    <t>现代拉力赛车</t>
  </si>
  <si>
    <t>现代跑车</t>
  </si>
  <si>
    <t>现代超级轿车</t>
  </si>
  <si>
    <t>现代超级跑车</t>
  </si>
  <si>
    <t>Modern Super Cars</t>
  </si>
  <si>
    <t>越野车</t>
  </si>
  <si>
    <t>皮卡和四轮驱动车</t>
  </si>
  <si>
    <t>拉力赛怪物</t>
  </si>
  <si>
    <t>稀有经典车</t>
  </si>
  <si>
    <t>复古高性能掀背车</t>
  </si>
  <si>
    <t>复古肌肉车</t>
  </si>
  <si>
    <t>复古赛车</t>
  </si>
  <si>
    <t>复古拉力赛车</t>
  </si>
  <si>
    <t>复古跑车</t>
  </si>
  <si>
    <t>复古超级轿车</t>
  </si>
  <si>
    <t>Retro Super Cars</t>
  </si>
  <si>
    <t>复古超级跑车</t>
  </si>
  <si>
    <t>改装车和特制车</t>
  </si>
  <si>
    <t>运动型多功能英雄车</t>
  </si>
  <si>
    <t>超级豪华旅行车</t>
  </si>
  <si>
    <t>超高性能掀背车</t>
  </si>
  <si>
    <t>赛道玩具</t>
  </si>
  <si>
    <t>多功能车</t>
  </si>
  <si>
    <t>无限制沙滩车</t>
  </si>
  <si>
    <t>无限制越野车</t>
  </si>
  <si>
    <t>多功能英雄车</t>
  </si>
  <si>
    <t>老式赛车</t>
  </si>
  <si>
    <t>Vintage Racers</t>
  </si>
  <si>
    <t>卡车</t>
  </si>
  <si>
    <t>Truck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</si>
</sst>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gradientFill>
        <stop position="0">
          <color rgb="FFBD13AF"/>
        </stop>
        <stop position="1">
          <color rgb="FF0070C0"/>
        </stop>
      </gradient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Border="1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name val="Calibri"/>
        <scheme val="none"/>
        <family val="2"/>
        <sz val="11"/>
        <color rgb="FFF14BA9"/>
      </font>
    </dxf>
    <dxf>
      <font>
        <name val="Calibri"/>
        <scheme val="none"/>
        <family val="2"/>
        <sz val="11"/>
        <color rgb="FF4E83FD"/>
      </font>
    </dxf>
    <dxf>
      <font>
        <name val="Calibri"/>
        <scheme val="none"/>
        <family val="2"/>
        <sz val="11"/>
        <color rgb="FF7F3BF5"/>
      </font>
    </dxf>
    <dxf>
      <font>
        <name val="Calibri"/>
        <scheme val="none"/>
        <family val="2"/>
        <sz val="11"/>
        <color rgb="FFF54A45"/>
      </font>
    </dxf>
    <dxf>
      <font>
        <name val="Calibri"/>
        <scheme val="none"/>
        <family val="2"/>
        <sz val="11"/>
        <color rgb="FFFF8800"/>
      </font>
    </dxf>
    <dxf>
      <font>
        <name val="Calibri"/>
        <scheme val="none"/>
        <family val="2"/>
        <sz val="11"/>
        <color rgb="FFFFF258"/>
      </font>
    </dxf>
    <dxf>
      <font>
        <name val="Calibri"/>
        <scheme val="none"/>
        <family val="2"/>
        <sz val="11"/>
        <color rgb="FF133C9A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19"/>
  <sheetViews>
    <sheetView tabSelected="1" workbookViewId="0">
      <selection activeCell="H605" sqref="H605"/>
    </sheetView>
  </sheetViews>
  <sheetFormatPr defaultColWidth="9" defaultRowHeight="16.5"/>
  <cols>
    <col min="1" max="1" width="42" style="4" customWidth="1"/>
    <col min="2" max="2" width="10.75" style="4" customWidth="1"/>
    <col min="3" max="3" width="11.25" style="4" customWidth="1"/>
    <col min="4" max="4" width="14.375" style="4" customWidth="1"/>
    <col min="5" max="5" width="11.5" style="4" customWidth="1"/>
    <col min="6" max="6" width="27.125" style="4" customWidth="1"/>
    <col min="7" max="7" width="8.75" style="4" customWidth="1"/>
    <col min="8" max="8" width="28" style="4" customWidth="1"/>
    <col min="9" max="9" width="8.75" style="4" customWidth="1"/>
    <col min="10" max="10" width="14.25" style="4" customWidth="1"/>
    <col min="11" max="11" width="7.875" style="4" customWidth="1"/>
    <col min="12" max="12" width="12.25" style="4" customWidth="1"/>
    <col min="13" max="13" width="19.125" style="5" customWidth="1"/>
    <col min="14" max="14" width="23.625" style="6" customWidth="1"/>
    <col min="15" max="16384" width="9" style="5"/>
  </cols>
  <sheetData>
    <row r="1" s="3" customFormat="1" ht="30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3" t="s">
        <v>12</v>
      </c>
      <c r="N1" s="11" t="s">
        <v>13</v>
      </c>
    </row>
    <row r="2" spans="1:14">
      <c r="A2" s="8" t="s">
        <v>14</v>
      </c>
      <c r="B2" s="9">
        <v>1</v>
      </c>
      <c r="C2" s="9">
        <v>1</v>
      </c>
      <c r="D2" s="9" t="s">
        <v>15</v>
      </c>
      <c r="E2" s="9">
        <v>1</v>
      </c>
      <c r="F2" s="9" t="s">
        <v>16</v>
      </c>
      <c r="G2" s="10" t="s">
        <v>17</v>
      </c>
      <c r="H2" s="8" t="s">
        <v>18</v>
      </c>
      <c r="I2" s="12">
        <v>250000</v>
      </c>
      <c r="J2" s="13" t="s">
        <v>19</v>
      </c>
      <c r="K2" s="9" t="s">
        <v>20</v>
      </c>
      <c r="L2" s="9" t="s">
        <v>21</v>
      </c>
      <c r="M2" s="5" t="str">
        <f>_xlfn.XLOOKUP(N2,enums!$C:$C,enums!$B:$B,"")</f>
        <v>高性能掀背车</v>
      </c>
      <c r="N2" s="6" t="s">
        <v>22</v>
      </c>
    </row>
    <row r="3" spans="1:14">
      <c r="A3" s="8" t="s">
        <v>23</v>
      </c>
      <c r="B3" s="9">
        <v>1</v>
      </c>
      <c r="C3" s="9">
        <v>1</v>
      </c>
      <c r="D3" s="9" t="s">
        <v>15</v>
      </c>
      <c r="E3" s="9">
        <v>2</v>
      </c>
      <c r="F3" s="9" t="s">
        <v>24</v>
      </c>
      <c r="G3" s="10" t="s">
        <v>25</v>
      </c>
      <c r="H3" s="8" t="s">
        <v>26</v>
      </c>
      <c r="I3" s="12">
        <v>125000</v>
      </c>
      <c r="J3" s="13" t="s">
        <v>19</v>
      </c>
      <c r="K3" s="9" t="s">
        <v>20</v>
      </c>
      <c r="L3" s="9" t="s">
        <v>27</v>
      </c>
      <c r="M3" s="5" t="str">
        <f>_xlfn.XLOOKUP(N3,enums!$C:$C,enums!$B:$B,"")</f>
        <v>经典拉力赛车</v>
      </c>
      <c r="N3" s="6" t="s">
        <v>28</v>
      </c>
    </row>
    <row r="4" spans="1:14">
      <c r="A4" s="8" t="s">
        <v>29</v>
      </c>
      <c r="B4" s="9">
        <v>1</v>
      </c>
      <c r="C4" s="9">
        <v>1</v>
      </c>
      <c r="D4" s="9" t="s">
        <v>15</v>
      </c>
      <c r="E4" s="9">
        <v>3</v>
      </c>
      <c r="F4" s="9" t="s">
        <v>30</v>
      </c>
      <c r="G4" s="10" t="s">
        <v>31</v>
      </c>
      <c r="H4" s="8" t="s">
        <v>26</v>
      </c>
      <c r="I4" s="12">
        <v>25000</v>
      </c>
      <c r="J4" s="13" t="s">
        <v>19</v>
      </c>
      <c r="K4" s="9" t="s">
        <v>20</v>
      </c>
      <c r="L4" s="9" t="s">
        <v>32</v>
      </c>
      <c r="M4" s="5" t="str">
        <f>_xlfn.XLOOKUP(N4,enums!$C:$C,enums!$B:$B,"")</f>
        <v>狂热跑车</v>
      </c>
      <c r="N4" s="6" t="s">
        <v>33</v>
      </c>
    </row>
    <row r="5" ht="33" spans="1:14">
      <c r="A5" s="8" t="s">
        <v>34</v>
      </c>
      <c r="B5" s="9">
        <v>2</v>
      </c>
      <c r="C5" s="9">
        <v>75</v>
      </c>
      <c r="D5" s="9" t="s">
        <v>35</v>
      </c>
      <c r="E5" s="9">
        <v>1</v>
      </c>
      <c r="F5" s="9" t="s">
        <v>36</v>
      </c>
      <c r="G5" s="10" t="s">
        <v>37</v>
      </c>
      <c r="H5" s="8" t="s">
        <v>38</v>
      </c>
      <c r="I5" s="12">
        <v>36000</v>
      </c>
      <c r="J5" s="14" t="s">
        <v>39</v>
      </c>
      <c r="K5" s="9" t="s">
        <v>40</v>
      </c>
      <c r="L5" s="9" t="s">
        <v>41</v>
      </c>
      <c r="M5" s="5" t="str">
        <f>_xlfn.XLOOKUP(N5,enums!$C:$C,enums!$B:$B,"")</f>
        <v>高性能掀背车</v>
      </c>
      <c r="N5" s="6" t="s">
        <v>22</v>
      </c>
    </row>
    <row r="6" ht="33" spans="1:14">
      <c r="A6" s="8" t="s">
        <v>42</v>
      </c>
      <c r="B6" s="9">
        <v>2</v>
      </c>
      <c r="C6" s="9">
        <v>75</v>
      </c>
      <c r="D6" s="9" t="s">
        <v>35</v>
      </c>
      <c r="E6" s="9">
        <v>2</v>
      </c>
      <c r="F6" s="9" t="s">
        <v>43</v>
      </c>
      <c r="G6" s="10" t="s">
        <v>44</v>
      </c>
      <c r="H6" s="8" t="s">
        <v>45</v>
      </c>
      <c r="I6" s="12">
        <v>193000</v>
      </c>
      <c r="J6" s="15" t="s">
        <v>46</v>
      </c>
      <c r="K6" s="9" t="s">
        <v>40</v>
      </c>
      <c r="L6" s="9" t="s">
        <v>47</v>
      </c>
      <c r="M6" s="5" t="str">
        <f>_xlfn.XLOOKUP(N6,enums!$C:$C,enums!$B:$B,"")</f>
        <v>现代超级跑车</v>
      </c>
      <c r="N6" s="6" t="s">
        <v>48</v>
      </c>
    </row>
    <row r="7" ht="33" spans="1:14">
      <c r="A7" s="8" t="s">
        <v>49</v>
      </c>
      <c r="B7" s="9">
        <v>2</v>
      </c>
      <c r="C7" s="9">
        <v>75</v>
      </c>
      <c r="D7" s="9" t="s">
        <v>35</v>
      </c>
      <c r="E7" s="9">
        <v>3</v>
      </c>
      <c r="F7" s="9" t="s">
        <v>50</v>
      </c>
      <c r="G7" s="10" t="s">
        <v>51</v>
      </c>
      <c r="H7" s="8" t="s">
        <v>38</v>
      </c>
      <c r="I7" s="12">
        <v>18000</v>
      </c>
      <c r="J7" s="13" t="s">
        <v>19</v>
      </c>
      <c r="K7" s="9" t="s">
        <v>40</v>
      </c>
      <c r="L7" s="9" t="s">
        <v>52</v>
      </c>
      <c r="M7" s="5" t="str">
        <f>_xlfn.XLOOKUP(N7,enums!$C:$C,enums!$B:$B,"")</f>
        <v>复古高性能掀背车</v>
      </c>
      <c r="N7" s="6" t="s">
        <v>53</v>
      </c>
    </row>
    <row r="8" ht="33" spans="1:14">
      <c r="A8" s="8" t="s">
        <v>54</v>
      </c>
      <c r="B8" s="9">
        <v>2</v>
      </c>
      <c r="C8" s="9">
        <v>75</v>
      </c>
      <c r="D8" s="9" t="s">
        <v>35</v>
      </c>
      <c r="E8" s="9">
        <v>4</v>
      </c>
      <c r="F8" s="9" t="s">
        <v>55</v>
      </c>
      <c r="G8" s="10" t="s">
        <v>56</v>
      </c>
      <c r="H8" s="8" t="s">
        <v>26</v>
      </c>
      <c r="I8" s="12">
        <v>25000</v>
      </c>
      <c r="J8" s="13" t="s">
        <v>19</v>
      </c>
      <c r="K8" s="9" t="s">
        <v>40</v>
      </c>
      <c r="L8" s="9" t="s">
        <v>57</v>
      </c>
      <c r="M8" s="5" t="str">
        <f>_xlfn.XLOOKUP(N8,enums!$C:$C,enums!$B:$B,"")</f>
        <v>复古高性能掀背车</v>
      </c>
      <c r="N8" s="6" t="s">
        <v>53</v>
      </c>
    </row>
    <row r="9" ht="33" spans="1:14">
      <c r="A9" s="8" t="s">
        <v>58</v>
      </c>
      <c r="B9" s="9">
        <v>3</v>
      </c>
      <c r="C9" s="9">
        <v>44</v>
      </c>
      <c r="D9" s="9" t="s">
        <v>59</v>
      </c>
      <c r="E9" s="9">
        <v>1</v>
      </c>
      <c r="F9" s="9" t="s">
        <v>60</v>
      </c>
      <c r="G9" s="10" t="s">
        <v>61</v>
      </c>
      <c r="H9" s="8" t="s">
        <v>62</v>
      </c>
      <c r="I9" s="12" t="s">
        <v>63</v>
      </c>
      <c r="J9" s="9"/>
      <c r="K9" s="9" t="s">
        <v>20</v>
      </c>
      <c r="L9" s="9"/>
      <c r="M9" s="5" t="str">
        <f>_xlfn.XLOOKUP(N9,enums!$C:$C,enums!$B:$B,"")</f>
        <v>现代超级轿车</v>
      </c>
      <c r="N9" s="6" t="s">
        <v>64</v>
      </c>
    </row>
    <row r="10" ht="33" spans="1:14">
      <c r="A10" s="8" t="s">
        <v>65</v>
      </c>
      <c r="B10" s="9">
        <v>3</v>
      </c>
      <c r="C10" s="9">
        <v>44</v>
      </c>
      <c r="D10" s="9" t="s">
        <v>59</v>
      </c>
      <c r="E10" s="9">
        <v>2</v>
      </c>
      <c r="F10" s="9" t="s">
        <v>66</v>
      </c>
      <c r="G10" s="10" t="s">
        <v>67</v>
      </c>
      <c r="H10" s="8" t="s">
        <v>26</v>
      </c>
      <c r="I10" s="12">
        <v>45000</v>
      </c>
      <c r="J10" s="14" t="s">
        <v>39</v>
      </c>
      <c r="K10" s="9" t="s">
        <v>20</v>
      </c>
      <c r="L10" s="9" t="s">
        <v>68</v>
      </c>
      <c r="M10" s="5" t="str">
        <f>_xlfn.XLOOKUP(N10,enums!$C:$C,enums!$B:$B,"")</f>
        <v>现代超级轿车</v>
      </c>
      <c r="N10" s="6" t="s">
        <v>64</v>
      </c>
    </row>
    <row r="11" ht="33" spans="1:14">
      <c r="A11" s="8" t="s">
        <v>69</v>
      </c>
      <c r="B11" s="9">
        <v>3</v>
      </c>
      <c r="C11" s="9">
        <v>44</v>
      </c>
      <c r="D11" s="9" t="s">
        <v>59</v>
      </c>
      <c r="E11" s="9">
        <v>3</v>
      </c>
      <c r="F11" s="9" t="s">
        <v>70</v>
      </c>
      <c r="G11" s="10" t="s">
        <v>71</v>
      </c>
      <c r="H11" s="8" t="s">
        <v>72</v>
      </c>
      <c r="I11" s="12">
        <v>73000</v>
      </c>
      <c r="J11" s="15" t="s">
        <v>46</v>
      </c>
      <c r="K11" s="9" t="s">
        <v>20</v>
      </c>
      <c r="L11" s="9" t="s">
        <v>73</v>
      </c>
      <c r="M11" s="5" t="str">
        <f>_xlfn.XLOOKUP(N11,enums!$C:$C,enums!$B:$B,"")</f>
        <v>现代跑车</v>
      </c>
      <c r="N11" s="6" t="s">
        <v>74</v>
      </c>
    </row>
    <row r="12" ht="33" spans="1:14">
      <c r="A12" s="8" t="s">
        <v>75</v>
      </c>
      <c r="B12" s="9">
        <v>3</v>
      </c>
      <c r="C12" s="9">
        <v>44</v>
      </c>
      <c r="D12" s="9" t="s">
        <v>59</v>
      </c>
      <c r="E12" s="9">
        <v>4</v>
      </c>
      <c r="F12" s="9" t="s">
        <v>76</v>
      </c>
      <c r="G12" s="10" t="s">
        <v>77</v>
      </c>
      <c r="H12" s="8" t="s">
        <v>26</v>
      </c>
      <c r="I12" s="12">
        <v>312000</v>
      </c>
      <c r="J12" s="15" t="s">
        <v>46</v>
      </c>
      <c r="K12" s="9" t="s">
        <v>20</v>
      </c>
      <c r="L12" s="9" t="s">
        <v>78</v>
      </c>
      <c r="M12" s="5" t="str">
        <f>_xlfn.XLOOKUP(N12,enums!$C:$C,enums!$B:$B,"")</f>
        <v>GT 赛车</v>
      </c>
      <c r="N12" s="6" t="s">
        <v>79</v>
      </c>
    </row>
    <row r="13" ht="33" spans="1:14">
      <c r="A13" s="8" t="s">
        <v>80</v>
      </c>
      <c r="B13" s="9">
        <v>3</v>
      </c>
      <c r="C13" s="9">
        <v>44</v>
      </c>
      <c r="D13" s="9" t="s">
        <v>59</v>
      </c>
      <c r="E13" s="9">
        <v>5</v>
      </c>
      <c r="F13" s="9" t="s">
        <v>81</v>
      </c>
      <c r="G13" s="10" t="s">
        <v>82</v>
      </c>
      <c r="H13" s="8" t="s">
        <v>72</v>
      </c>
      <c r="I13" s="12">
        <v>30000</v>
      </c>
      <c r="J13" s="15" t="s">
        <v>46</v>
      </c>
      <c r="K13" s="9" t="s">
        <v>20</v>
      </c>
      <c r="L13" s="9" t="s">
        <v>83</v>
      </c>
      <c r="M13" s="5" t="str">
        <f>_xlfn.XLOOKUP(N13,enums!$C:$C,enums!$B:$B,"")</f>
        <v>复古超级跑车</v>
      </c>
      <c r="N13" s="6" t="s">
        <v>84</v>
      </c>
    </row>
    <row r="14" ht="33" spans="1:14">
      <c r="A14" s="8" t="s">
        <v>85</v>
      </c>
      <c r="B14" s="9">
        <v>3</v>
      </c>
      <c r="C14" s="9">
        <v>44</v>
      </c>
      <c r="D14" s="9" t="s">
        <v>59</v>
      </c>
      <c r="E14" s="9">
        <v>6</v>
      </c>
      <c r="F14" s="9" t="s">
        <v>86</v>
      </c>
      <c r="G14" s="10" t="s">
        <v>87</v>
      </c>
      <c r="H14" s="8" t="s">
        <v>62</v>
      </c>
      <c r="I14" s="12" t="s">
        <v>63</v>
      </c>
      <c r="J14" s="9"/>
      <c r="K14" s="9" t="s">
        <v>20</v>
      </c>
      <c r="L14" s="9"/>
      <c r="M14" s="5" t="str">
        <f>_xlfn.XLOOKUP(N14,enums!$C:$C,enums!$B:$B,"")</f>
        <v>复古赛车</v>
      </c>
      <c r="N14" s="6" t="s">
        <v>88</v>
      </c>
    </row>
    <row r="15" ht="33" spans="1:14">
      <c r="A15" s="8" t="s">
        <v>89</v>
      </c>
      <c r="B15" s="9">
        <v>3</v>
      </c>
      <c r="C15" s="9">
        <v>44</v>
      </c>
      <c r="D15" s="9" t="s">
        <v>59</v>
      </c>
      <c r="E15" s="9">
        <v>7</v>
      </c>
      <c r="F15" s="9" t="s">
        <v>90</v>
      </c>
      <c r="G15" s="10" t="s">
        <v>31</v>
      </c>
      <c r="H15" s="8" t="s">
        <v>26</v>
      </c>
      <c r="I15" s="12">
        <v>3500000</v>
      </c>
      <c r="J15" s="16" t="s">
        <v>91</v>
      </c>
      <c r="K15" s="9" t="s">
        <v>20</v>
      </c>
      <c r="L15" s="9" t="s">
        <v>92</v>
      </c>
      <c r="M15" s="5" t="str">
        <f>_xlfn.XLOOKUP(N15,enums!$C:$C,enums!$B:$B,"")</f>
        <v>经典赛车</v>
      </c>
      <c r="N15" s="6" t="s">
        <v>93</v>
      </c>
    </row>
    <row r="16" ht="49.5" spans="1:14">
      <c r="A16" s="8" t="s">
        <v>94</v>
      </c>
      <c r="B16" s="9">
        <v>3</v>
      </c>
      <c r="C16" s="9">
        <v>44</v>
      </c>
      <c r="D16" s="9" t="s">
        <v>59</v>
      </c>
      <c r="E16" s="9">
        <v>8</v>
      </c>
      <c r="F16" s="9" t="s">
        <v>95</v>
      </c>
      <c r="G16" s="10" t="s">
        <v>96</v>
      </c>
      <c r="H16" s="8" t="s">
        <v>97</v>
      </c>
      <c r="I16" s="12">
        <v>1200000</v>
      </c>
      <c r="J16" s="16" t="s">
        <v>91</v>
      </c>
      <c r="K16" s="9" t="s">
        <v>20</v>
      </c>
      <c r="L16" s="9" t="s">
        <v>98</v>
      </c>
      <c r="M16" s="5" t="str">
        <f>_xlfn.XLOOKUP(N16,enums!$C:$C,enums!$B:$B,"")</f>
        <v>经典赛车</v>
      </c>
      <c r="N16" s="6" t="s">
        <v>93</v>
      </c>
    </row>
    <row r="17" ht="33" spans="1:14">
      <c r="A17" s="8" t="s">
        <v>99</v>
      </c>
      <c r="B17" s="9">
        <v>3</v>
      </c>
      <c r="C17" s="9">
        <v>44</v>
      </c>
      <c r="D17" s="9" t="s">
        <v>59</v>
      </c>
      <c r="E17" s="9">
        <v>9</v>
      </c>
      <c r="F17" s="9" t="s">
        <v>100</v>
      </c>
      <c r="G17" s="10" t="s">
        <v>96</v>
      </c>
      <c r="H17" s="8" t="s">
        <v>26</v>
      </c>
      <c r="I17" s="12">
        <v>343000</v>
      </c>
      <c r="J17" s="14" t="s">
        <v>39</v>
      </c>
      <c r="K17" s="9" t="s">
        <v>20</v>
      </c>
      <c r="L17" s="9" t="s">
        <v>101</v>
      </c>
      <c r="M17" s="5" t="str">
        <f>_xlfn.XLOOKUP(N17,enums!$C:$C,enums!$B:$B,"")</f>
        <v>稀有经典车</v>
      </c>
      <c r="N17" s="6" t="s">
        <v>102</v>
      </c>
    </row>
    <row r="18" spans="1:14">
      <c r="A18" s="8" t="s">
        <v>103</v>
      </c>
      <c r="B18" s="9">
        <v>4</v>
      </c>
      <c r="C18" s="9">
        <v>2</v>
      </c>
      <c r="D18" s="9" t="s">
        <v>104</v>
      </c>
      <c r="E18" s="9">
        <v>1</v>
      </c>
      <c r="F18" s="9" t="s">
        <v>105</v>
      </c>
      <c r="G18" s="10" t="s">
        <v>44</v>
      </c>
      <c r="H18" s="8" t="s">
        <v>26</v>
      </c>
      <c r="I18" s="12">
        <v>300000</v>
      </c>
      <c r="J18" s="15" t="s">
        <v>46</v>
      </c>
      <c r="K18" s="9" t="s">
        <v>40</v>
      </c>
      <c r="L18" s="9" t="s">
        <v>106</v>
      </c>
      <c r="M18" s="5" t="str">
        <f>_xlfn.XLOOKUP(N18,enums!$C:$C,enums!$B:$B,"")</f>
        <v>无限制越野车</v>
      </c>
      <c r="N18" s="6" t="s">
        <v>107</v>
      </c>
    </row>
    <row r="19" spans="1:14">
      <c r="A19" s="8" t="s">
        <v>108</v>
      </c>
      <c r="B19" s="9">
        <v>4</v>
      </c>
      <c r="C19" s="9">
        <v>2</v>
      </c>
      <c r="D19" s="9" t="s">
        <v>104</v>
      </c>
      <c r="E19" s="9">
        <v>2</v>
      </c>
      <c r="F19" s="9" t="s">
        <v>109</v>
      </c>
      <c r="G19" s="10" t="s">
        <v>61</v>
      </c>
      <c r="H19" s="8" t="s">
        <v>26</v>
      </c>
      <c r="I19" s="12">
        <v>160000</v>
      </c>
      <c r="J19" s="15" t="s">
        <v>46</v>
      </c>
      <c r="K19" s="9" t="s">
        <v>40</v>
      </c>
      <c r="L19" s="9" t="s">
        <v>110</v>
      </c>
      <c r="M19" s="5" t="str">
        <f>_xlfn.XLOOKUP(N19,enums!$C:$C,enums!$B:$B,"")</f>
        <v>无限制沙滩车</v>
      </c>
      <c r="N19" s="6" t="s">
        <v>111</v>
      </c>
    </row>
    <row r="20" spans="1:14">
      <c r="A20" s="8" t="s">
        <v>112</v>
      </c>
      <c r="B20" s="9">
        <v>4</v>
      </c>
      <c r="C20" s="9">
        <v>2</v>
      </c>
      <c r="D20" s="9" t="s">
        <v>104</v>
      </c>
      <c r="E20" s="9">
        <v>3</v>
      </c>
      <c r="F20" s="9" t="s">
        <v>113</v>
      </c>
      <c r="G20" s="10" t="s">
        <v>114</v>
      </c>
      <c r="H20" s="8" t="s">
        <v>26</v>
      </c>
      <c r="I20" s="12">
        <v>45000</v>
      </c>
      <c r="J20" s="15" t="s">
        <v>46</v>
      </c>
      <c r="K20" s="9" t="s">
        <v>40</v>
      </c>
      <c r="L20" s="9" t="s">
        <v>98</v>
      </c>
      <c r="M20" s="5" t="str">
        <f>_xlfn.XLOOKUP(N20,enums!$C:$C,enums!$B:$B,"")</f>
        <v>无限制沙滩车</v>
      </c>
      <c r="N20" s="6" t="s">
        <v>111</v>
      </c>
    </row>
    <row r="21" ht="49.5" spans="1:14">
      <c r="A21" s="8" t="s">
        <v>115</v>
      </c>
      <c r="B21" s="9">
        <v>5</v>
      </c>
      <c r="C21" s="9">
        <v>3</v>
      </c>
      <c r="D21" s="9" t="s">
        <v>116</v>
      </c>
      <c r="E21" s="9">
        <v>1</v>
      </c>
      <c r="F21" s="9" t="s">
        <v>117</v>
      </c>
      <c r="G21" s="10"/>
      <c r="H21" s="8" t="s">
        <v>118</v>
      </c>
      <c r="I21" s="12">
        <v>850000</v>
      </c>
      <c r="J21" s="16" t="s">
        <v>91</v>
      </c>
      <c r="K21" s="9" t="s">
        <v>40</v>
      </c>
      <c r="L21" s="9" t="s">
        <v>119</v>
      </c>
      <c r="M21" s="5" t="str">
        <f>_xlfn.XLOOKUP(N21,enums!$C:$C,enums!$B:$B,"")</f>
        <v>无限制越野车</v>
      </c>
      <c r="N21" s="6" t="s">
        <v>107</v>
      </c>
    </row>
    <row r="22" spans="1:14">
      <c r="A22" s="8" t="s">
        <v>120</v>
      </c>
      <c r="B22" s="9">
        <v>6</v>
      </c>
      <c r="C22" s="9">
        <v>4</v>
      </c>
      <c r="D22" s="9" t="s">
        <v>121</v>
      </c>
      <c r="E22" s="9">
        <v>1</v>
      </c>
      <c r="F22" s="9" t="s">
        <v>122</v>
      </c>
      <c r="G22" s="10" t="s">
        <v>123</v>
      </c>
      <c r="H22" s="8" t="s">
        <v>124</v>
      </c>
      <c r="I22" s="12">
        <v>3200000</v>
      </c>
      <c r="J22" s="16" t="s">
        <v>91</v>
      </c>
      <c r="K22" s="9" t="s">
        <v>125</v>
      </c>
      <c r="L22" s="9" t="s">
        <v>126</v>
      </c>
      <c r="M22" s="5" t="str">
        <f>_xlfn.XLOOKUP(N22,enums!$C:$C,enums!$B:$B,"")</f>
        <v>极限赛道玩具</v>
      </c>
      <c r="N22" s="6" t="s">
        <v>127</v>
      </c>
    </row>
    <row r="23" ht="49.5" spans="1:14">
      <c r="A23" s="8" t="s">
        <v>128</v>
      </c>
      <c r="B23" s="9">
        <v>7</v>
      </c>
      <c r="C23" s="9">
        <v>5</v>
      </c>
      <c r="D23" s="9" t="s">
        <v>129</v>
      </c>
      <c r="E23" s="9">
        <v>1</v>
      </c>
      <c r="F23" s="9" t="s">
        <v>130</v>
      </c>
      <c r="G23" s="10" t="s">
        <v>17</v>
      </c>
      <c r="H23" s="8" t="s">
        <v>131</v>
      </c>
      <c r="I23" s="12">
        <v>54000</v>
      </c>
      <c r="J23" s="14" t="s">
        <v>39</v>
      </c>
      <c r="K23" s="9" t="s">
        <v>132</v>
      </c>
      <c r="L23" s="9" t="s">
        <v>133</v>
      </c>
      <c r="M23" s="5" t="str">
        <f>_xlfn.XLOOKUP(N23,enums!$C:$C,enums!$B:$B,"")</f>
        <v>无限制沙滩车</v>
      </c>
      <c r="N23" s="6" t="s">
        <v>111</v>
      </c>
    </row>
    <row r="24" spans="1:14">
      <c r="A24" s="8" t="s">
        <v>134</v>
      </c>
      <c r="B24" s="9">
        <v>7</v>
      </c>
      <c r="C24" s="9">
        <v>5</v>
      </c>
      <c r="D24" s="9" t="s">
        <v>129</v>
      </c>
      <c r="E24" s="9">
        <v>2</v>
      </c>
      <c r="F24" s="9" t="s">
        <v>135</v>
      </c>
      <c r="G24" s="10" t="s">
        <v>136</v>
      </c>
      <c r="H24" s="8" t="s">
        <v>26</v>
      </c>
      <c r="I24" s="12">
        <v>190000</v>
      </c>
      <c r="J24" s="15" t="s">
        <v>46</v>
      </c>
      <c r="K24" s="9" t="s">
        <v>132</v>
      </c>
      <c r="L24" s="9" t="s">
        <v>137</v>
      </c>
      <c r="M24" s="5" t="str">
        <f>_xlfn.XLOOKUP(N24,enums!$C:$C,enums!$B:$B,"")</f>
        <v>极限赛道玩具</v>
      </c>
      <c r="N24" s="6" t="s">
        <v>127</v>
      </c>
    </row>
    <row r="25" ht="33" spans="1:14">
      <c r="A25" s="8" t="s">
        <v>138</v>
      </c>
      <c r="B25" s="9">
        <v>8</v>
      </c>
      <c r="C25" s="9">
        <v>45</v>
      </c>
      <c r="D25" s="9" t="s">
        <v>139</v>
      </c>
      <c r="E25" s="9">
        <v>1</v>
      </c>
      <c r="F25" s="9" t="s">
        <v>140</v>
      </c>
      <c r="G25" s="10" t="s">
        <v>37</v>
      </c>
      <c r="H25" s="8" t="s">
        <v>26</v>
      </c>
      <c r="I25" s="12">
        <v>2750000</v>
      </c>
      <c r="J25" s="16" t="s">
        <v>91</v>
      </c>
      <c r="K25" s="9" t="s">
        <v>132</v>
      </c>
      <c r="L25" s="9" t="s">
        <v>141</v>
      </c>
      <c r="M25" s="5" t="str">
        <f>_xlfn.XLOOKUP(N25,enums!$C:$C,enums!$B:$B,"")</f>
        <v>顶级超跑</v>
      </c>
      <c r="N25" s="6" t="s">
        <v>142</v>
      </c>
    </row>
    <row r="26" ht="66" spans="1:14">
      <c r="A26" s="8" t="s">
        <v>143</v>
      </c>
      <c r="B26" s="9">
        <v>8</v>
      </c>
      <c r="C26" s="9">
        <v>45</v>
      </c>
      <c r="D26" s="9" t="s">
        <v>139</v>
      </c>
      <c r="E26" s="9">
        <v>2</v>
      </c>
      <c r="F26" s="9" t="s">
        <v>144</v>
      </c>
      <c r="G26" s="10" t="s">
        <v>44</v>
      </c>
      <c r="H26" s="8" t="s">
        <v>145</v>
      </c>
      <c r="I26" s="12">
        <v>4200000</v>
      </c>
      <c r="J26" s="16" t="s">
        <v>91</v>
      </c>
      <c r="K26" s="9" t="s">
        <v>132</v>
      </c>
      <c r="L26" s="9" t="s">
        <v>146</v>
      </c>
      <c r="M26" s="5" t="str">
        <f>_xlfn.XLOOKUP(N26,enums!$C:$C,enums!$B:$B,"")</f>
        <v>极限赛道玩具</v>
      </c>
      <c r="N26" s="6" t="s">
        <v>127</v>
      </c>
    </row>
    <row r="27" ht="33" spans="1:14">
      <c r="A27" s="8" t="s">
        <v>147</v>
      </c>
      <c r="B27" s="9">
        <v>8</v>
      </c>
      <c r="C27" s="9">
        <v>45</v>
      </c>
      <c r="D27" s="9" t="s">
        <v>139</v>
      </c>
      <c r="E27" s="9">
        <v>3</v>
      </c>
      <c r="F27" s="9" t="s">
        <v>148</v>
      </c>
      <c r="G27" s="10" t="s">
        <v>61</v>
      </c>
      <c r="H27" s="8" t="s">
        <v>18</v>
      </c>
      <c r="I27" s="12">
        <v>250000</v>
      </c>
      <c r="J27" s="14" t="s">
        <v>39</v>
      </c>
      <c r="K27" s="9" t="s">
        <v>132</v>
      </c>
      <c r="L27" s="9" t="s">
        <v>149</v>
      </c>
      <c r="M27" s="5" t="str">
        <f>_xlfn.XLOOKUP(N27,enums!$C:$C,enums!$B:$B,"")</f>
        <v>运动型多功能英雄车</v>
      </c>
      <c r="N27" s="6" t="s">
        <v>150</v>
      </c>
    </row>
    <row r="28" ht="33" spans="1:14">
      <c r="A28" s="8" t="s">
        <v>151</v>
      </c>
      <c r="B28" s="9">
        <v>8</v>
      </c>
      <c r="C28" s="9">
        <v>45</v>
      </c>
      <c r="D28" s="9" t="s">
        <v>139</v>
      </c>
      <c r="E28" s="9">
        <v>4</v>
      </c>
      <c r="F28" s="9" t="s">
        <v>152</v>
      </c>
      <c r="G28" s="10" t="s">
        <v>123</v>
      </c>
      <c r="H28" s="8" t="s">
        <v>124</v>
      </c>
      <c r="I28" s="12">
        <v>1150000</v>
      </c>
      <c r="J28" s="16" t="s">
        <v>91</v>
      </c>
      <c r="K28" s="9" t="s">
        <v>132</v>
      </c>
      <c r="L28" s="9" t="s">
        <v>153</v>
      </c>
      <c r="M28" s="5" t="str">
        <f>_xlfn.XLOOKUP(N28,enums!$C:$C,enums!$B:$B,"")</f>
        <v>顶级超跑</v>
      </c>
      <c r="N28" s="6" t="s">
        <v>142</v>
      </c>
    </row>
    <row r="29" ht="33" spans="1:14">
      <c r="A29" s="8" t="s">
        <v>154</v>
      </c>
      <c r="B29" s="9">
        <v>8</v>
      </c>
      <c r="C29" s="9">
        <v>45</v>
      </c>
      <c r="D29" s="9" t="s">
        <v>139</v>
      </c>
      <c r="E29" s="9">
        <v>5</v>
      </c>
      <c r="F29" s="9" t="s">
        <v>155</v>
      </c>
      <c r="G29" s="10" t="s">
        <v>123</v>
      </c>
      <c r="H29" s="8" t="s">
        <v>124</v>
      </c>
      <c r="I29" s="12">
        <v>275000</v>
      </c>
      <c r="J29" s="15" t="s">
        <v>46</v>
      </c>
      <c r="K29" s="9" t="s">
        <v>132</v>
      </c>
      <c r="L29" s="9" t="s">
        <v>156</v>
      </c>
      <c r="M29" s="5" t="str">
        <f>_xlfn.XLOOKUP(N29,enums!$C:$C,enums!$B:$B,"")</f>
        <v>超级豪华旅行车</v>
      </c>
      <c r="N29" s="6" t="s">
        <v>157</v>
      </c>
    </row>
    <row r="30" ht="33" spans="1:14">
      <c r="A30" s="8" t="s">
        <v>158</v>
      </c>
      <c r="B30" s="9">
        <v>8</v>
      </c>
      <c r="C30" s="9">
        <v>45</v>
      </c>
      <c r="D30" s="9" t="s">
        <v>139</v>
      </c>
      <c r="E30" s="9">
        <v>6</v>
      </c>
      <c r="F30" s="9" t="s">
        <v>159</v>
      </c>
      <c r="G30" s="10" t="s">
        <v>123</v>
      </c>
      <c r="H30" s="8" t="s">
        <v>72</v>
      </c>
      <c r="I30" s="12">
        <v>250000</v>
      </c>
      <c r="J30" s="15" t="s">
        <v>46</v>
      </c>
      <c r="K30" s="9" t="s">
        <v>132</v>
      </c>
      <c r="L30" s="9" t="s">
        <v>160</v>
      </c>
      <c r="M30" s="5" t="str">
        <f>_xlfn.XLOOKUP(N30,enums!$C:$C,enums!$B:$B,"")</f>
        <v>GT 赛车</v>
      </c>
      <c r="N30" s="6" t="s">
        <v>79</v>
      </c>
    </row>
    <row r="31" ht="33" spans="1:14">
      <c r="A31" s="8" t="s">
        <v>161</v>
      </c>
      <c r="B31" s="9">
        <v>8</v>
      </c>
      <c r="C31" s="9">
        <v>45</v>
      </c>
      <c r="D31" s="9" t="s">
        <v>139</v>
      </c>
      <c r="E31" s="9">
        <v>7</v>
      </c>
      <c r="F31" s="9" t="s">
        <v>162</v>
      </c>
      <c r="G31" s="10" t="s">
        <v>67</v>
      </c>
      <c r="H31" s="8" t="s">
        <v>26</v>
      </c>
      <c r="I31" s="12">
        <v>3000000</v>
      </c>
      <c r="J31" s="16" t="s">
        <v>91</v>
      </c>
      <c r="K31" s="9" t="s">
        <v>132</v>
      </c>
      <c r="L31" s="9" t="s">
        <v>163</v>
      </c>
      <c r="M31" s="5" t="str">
        <f>_xlfn.XLOOKUP(N31,enums!$C:$C,enums!$B:$B,"")</f>
        <v>极限赛道玩具</v>
      </c>
      <c r="N31" s="6" t="s">
        <v>127</v>
      </c>
    </row>
    <row r="32" ht="33" spans="1:14">
      <c r="A32" s="8" t="s">
        <v>164</v>
      </c>
      <c r="B32" s="9">
        <v>8</v>
      </c>
      <c r="C32" s="9">
        <v>45</v>
      </c>
      <c r="D32" s="9" t="s">
        <v>139</v>
      </c>
      <c r="E32" s="9">
        <v>8</v>
      </c>
      <c r="F32" s="9" t="s">
        <v>165</v>
      </c>
      <c r="G32" s="10" t="s">
        <v>67</v>
      </c>
      <c r="H32" s="8" t="s">
        <v>26</v>
      </c>
      <c r="I32" s="12">
        <v>175000</v>
      </c>
      <c r="J32" s="15" t="s">
        <v>46</v>
      </c>
      <c r="K32" s="9" t="s">
        <v>132</v>
      </c>
      <c r="L32" s="9" t="s">
        <v>166</v>
      </c>
      <c r="M32" s="5" t="str">
        <f>_xlfn.XLOOKUP(N32,enums!$C:$C,enums!$B:$B,"")</f>
        <v>超级豪华旅行车</v>
      </c>
      <c r="N32" s="6" t="s">
        <v>157</v>
      </c>
    </row>
    <row r="33" ht="33" spans="1:14">
      <c r="A33" s="8" t="s">
        <v>167</v>
      </c>
      <c r="B33" s="9">
        <v>8</v>
      </c>
      <c r="C33" s="9">
        <v>45</v>
      </c>
      <c r="D33" s="9" t="s">
        <v>139</v>
      </c>
      <c r="E33" s="9">
        <v>9</v>
      </c>
      <c r="F33" s="9" t="s">
        <v>168</v>
      </c>
      <c r="G33" s="10" t="s">
        <v>17</v>
      </c>
      <c r="H33" s="8" t="s">
        <v>169</v>
      </c>
      <c r="I33" s="12">
        <v>2300000</v>
      </c>
      <c r="J33" s="16" t="s">
        <v>91</v>
      </c>
      <c r="K33" s="9" t="s">
        <v>132</v>
      </c>
      <c r="L33" s="9" t="s">
        <v>170</v>
      </c>
      <c r="M33" s="5" t="str">
        <f>_xlfn.XLOOKUP(N33,enums!$C:$C,enums!$B:$B,"")</f>
        <v>极限赛道玩具</v>
      </c>
      <c r="N33" s="6" t="s">
        <v>127</v>
      </c>
    </row>
    <row r="34" ht="33" spans="1:14">
      <c r="A34" s="8" t="s">
        <v>171</v>
      </c>
      <c r="B34" s="9">
        <v>8</v>
      </c>
      <c r="C34" s="9">
        <v>45</v>
      </c>
      <c r="D34" s="9" t="s">
        <v>139</v>
      </c>
      <c r="E34" s="9">
        <v>10</v>
      </c>
      <c r="F34" s="9" t="s">
        <v>172</v>
      </c>
      <c r="G34" s="10" t="s">
        <v>173</v>
      </c>
      <c r="H34" s="8" t="s">
        <v>72</v>
      </c>
      <c r="I34" s="12">
        <v>500000</v>
      </c>
      <c r="J34" s="15" t="s">
        <v>46</v>
      </c>
      <c r="K34" s="9" t="s">
        <v>132</v>
      </c>
      <c r="L34" s="9" t="s">
        <v>174</v>
      </c>
      <c r="M34" s="5" t="str">
        <f>_xlfn.XLOOKUP(N34,enums!$C:$C,enums!$B:$B,"")</f>
        <v>稀有经典车</v>
      </c>
      <c r="N34" s="6" t="s">
        <v>102</v>
      </c>
    </row>
    <row r="35" ht="33" spans="1:14">
      <c r="A35" s="8" t="s">
        <v>175</v>
      </c>
      <c r="B35" s="9">
        <v>9</v>
      </c>
      <c r="C35" s="9">
        <v>46</v>
      </c>
      <c r="D35" s="9" t="s">
        <v>176</v>
      </c>
      <c r="E35" s="9">
        <v>1</v>
      </c>
      <c r="F35" s="9" t="s">
        <v>177</v>
      </c>
      <c r="G35" s="10" t="s">
        <v>37</v>
      </c>
      <c r="H35" s="8" t="s">
        <v>178</v>
      </c>
      <c r="I35" s="12" t="s">
        <v>63</v>
      </c>
      <c r="J35" s="15" t="s">
        <v>46</v>
      </c>
      <c r="K35" s="9" t="s">
        <v>125</v>
      </c>
      <c r="L35" s="9" t="s">
        <v>179</v>
      </c>
      <c r="M35" s="5" t="str">
        <f>_xlfn.XLOOKUP(N35,enums!$C:$C,enums!$B:$B,"")</f>
        <v>现代超级跑车</v>
      </c>
      <c r="N35" s="6" t="s">
        <v>48</v>
      </c>
    </row>
    <row r="36" ht="33" spans="1:14">
      <c r="A36" s="8" t="s">
        <v>180</v>
      </c>
      <c r="B36" s="9">
        <v>9</v>
      </c>
      <c r="C36" s="9">
        <v>46</v>
      </c>
      <c r="D36" s="9" t="s">
        <v>176</v>
      </c>
      <c r="E36" s="9">
        <v>2</v>
      </c>
      <c r="F36" s="9" t="s">
        <v>181</v>
      </c>
      <c r="G36" s="10" t="s">
        <v>61</v>
      </c>
      <c r="H36" s="8" t="s">
        <v>26</v>
      </c>
      <c r="I36" s="12">
        <v>95000</v>
      </c>
      <c r="J36" s="15" t="s">
        <v>46</v>
      </c>
      <c r="K36" s="9" t="s">
        <v>125</v>
      </c>
      <c r="L36" s="9" t="s">
        <v>182</v>
      </c>
      <c r="M36" s="5" t="str">
        <f>_xlfn.XLOOKUP(N36,enums!$C:$C,enums!$B:$B,"")</f>
        <v>现代超级轿车</v>
      </c>
      <c r="N36" s="6" t="s">
        <v>64</v>
      </c>
    </row>
    <row r="37" ht="33" spans="1:14">
      <c r="A37" s="8" t="s">
        <v>183</v>
      </c>
      <c r="B37" s="9">
        <v>9</v>
      </c>
      <c r="C37" s="9">
        <v>46</v>
      </c>
      <c r="D37" s="9" t="s">
        <v>176</v>
      </c>
      <c r="E37" s="9">
        <v>3</v>
      </c>
      <c r="F37" s="9" t="s">
        <v>184</v>
      </c>
      <c r="G37" s="10" t="s">
        <v>61</v>
      </c>
      <c r="H37" s="8" t="s">
        <v>26</v>
      </c>
      <c r="I37" s="12">
        <v>80000</v>
      </c>
      <c r="J37" s="14" t="s">
        <v>39</v>
      </c>
      <c r="K37" s="9" t="s">
        <v>125</v>
      </c>
      <c r="L37" s="9" t="s">
        <v>185</v>
      </c>
      <c r="M37" s="5" t="str">
        <f>_xlfn.XLOOKUP(N37,enums!$C:$C,enums!$B:$B,"")</f>
        <v>现代超级轿车</v>
      </c>
      <c r="N37" s="6" t="s">
        <v>64</v>
      </c>
    </row>
    <row r="38" ht="33" spans="1:14">
      <c r="A38" s="8" t="s">
        <v>186</v>
      </c>
      <c r="B38" s="9">
        <v>9</v>
      </c>
      <c r="C38" s="9">
        <v>46</v>
      </c>
      <c r="D38" s="9" t="s">
        <v>176</v>
      </c>
      <c r="E38" s="9">
        <v>4</v>
      </c>
      <c r="F38" s="9" t="s">
        <v>187</v>
      </c>
      <c r="G38" s="10" t="s">
        <v>61</v>
      </c>
      <c r="H38" s="8" t="s">
        <v>26</v>
      </c>
      <c r="I38" s="12">
        <v>83000</v>
      </c>
      <c r="J38" s="14" t="s">
        <v>39</v>
      </c>
      <c r="K38" s="9" t="s">
        <v>125</v>
      </c>
      <c r="L38" s="9" t="s">
        <v>188</v>
      </c>
      <c r="M38" s="5" t="str">
        <f>_xlfn.XLOOKUP(N38,enums!$C:$C,enums!$B:$B,"")</f>
        <v>现代超级轿车</v>
      </c>
      <c r="N38" s="6" t="s">
        <v>64</v>
      </c>
    </row>
    <row r="39" ht="33" spans="1:14">
      <c r="A39" s="8" t="s">
        <v>189</v>
      </c>
      <c r="B39" s="9">
        <v>9</v>
      </c>
      <c r="C39" s="9">
        <v>46</v>
      </c>
      <c r="D39" s="9" t="s">
        <v>176</v>
      </c>
      <c r="E39" s="9">
        <v>5</v>
      </c>
      <c r="F39" s="9" t="s">
        <v>190</v>
      </c>
      <c r="G39" s="10" t="s">
        <v>191</v>
      </c>
      <c r="H39" s="8" t="s">
        <v>26</v>
      </c>
      <c r="I39" s="12">
        <v>281000</v>
      </c>
      <c r="J39" s="14" t="s">
        <v>39</v>
      </c>
      <c r="K39" s="9" t="s">
        <v>125</v>
      </c>
      <c r="L39" s="9" t="s">
        <v>192</v>
      </c>
      <c r="M39" s="5" t="str">
        <f>_xlfn.XLOOKUP(N39,enums!$C:$C,enums!$B:$B,"")</f>
        <v>现代超级跑车</v>
      </c>
      <c r="N39" s="6" t="s">
        <v>48</v>
      </c>
    </row>
    <row r="40" ht="33" spans="1:14">
      <c r="A40" s="8" t="s">
        <v>193</v>
      </c>
      <c r="B40" s="9">
        <v>9</v>
      </c>
      <c r="C40" s="9">
        <v>46</v>
      </c>
      <c r="D40" s="9" t="s">
        <v>176</v>
      </c>
      <c r="E40" s="9">
        <v>6</v>
      </c>
      <c r="F40" s="9" t="s">
        <v>194</v>
      </c>
      <c r="G40" s="10" t="s">
        <v>191</v>
      </c>
      <c r="H40" s="8" t="s">
        <v>26</v>
      </c>
      <c r="I40" s="12">
        <v>52000</v>
      </c>
      <c r="J40" s="14" t="s">
        <v>39</v>
      </c>
      <c r="K40" s="9" t="s">
        <v>125</v>
      </c>
      <c r="L40" s="9" t="s">
        <v>195</v>
      </c>
      <c r="M40" s="5" t="str">
        <f>_xlfn.XLOOKUP(N40,enums!$C:$C,enums!$B:$B,"")</f>
        <v>现代超级轿车</v>
      </c>
      <c r="N40" s="6" t="s">
        <v>64</v>
      </c>
    </row>
    <row r="41" ht="33" spans="1:14">
      <c r="A41" s="8" t="s">
        <v>196</v>
      </c>
      <c r="B41" s="9">
        <v>9</v>
      </c>
      <c r="C41" s="9">
        <v>46</v>
      </c>
      <c r="D41" s="9" t="s">
        <v>176</v>
      </c>
      <c r="E41" s="9">
        <v>7</v>
      </c>
      <c r="F41" s="9" t="s">
        <v>197</v>
      </c>
      <c r="G41" s="10" t="s">
        <v>198</v>
      </c>
      <c r="H41" s="8" t="s">
        <v>26</v>
      </c>
      <c r="I41" s="12">
        <v>50000</v>
      </c>
      <c r="J41" s="14" t="s">
        <v>39</v>
      </c>
      <c r="K41" s="9" t="s">
        <v>125</v>
      </c>
      <c r="L41" s="9" t="s">
        <v>199</v>
      </c>
      <c r="M41" s="5" t="str">
        <f>_xlfn.XLOOKUP(N41,enums!$C:$C,enums!$B:$B,"")</f>
        <v>现代超级轿车</v>
      </c>
      <c r="N41" s="6" t="s">
        <v>64</v>
      </c>
    </row>
    <row r="42" ht="33" spans="1:14">
      <c r="A42" s="8" t="s">
        <v>200</v>
      </c>
      <c r="B42" s="9">
        <v>9</v>
      </c>
      <c r="C42" s="9">
        <v>46</v>
      </c>
      <c r="D42" s="9" t="s">
        <v>176</v>
      </c>
      <c r="E42" s="9">
        <v>8</v>
      </c>
      <c r="F42" s="9" t="s">
        <v>201</v>
      </c>
      <c r="G42" s="10" t="s">
        <v>17</v>
      </c>
      <c r="H42" s="8" t="s">
        <v>26</v>
      </c>
      <c r="I42" s="12">
        <v>160000</v>
      </c>
      <c r="J42" s="15" t="s">
        <v>46</v>
      </c>
      <c r="K42" s="9" t="s">
        <v>125</v>
      </c>
      <c r="L42" s="9" t="s">
        <v>202</v>
      </c>
      <c r="M42" s="5" t="str">
        <f>_xlfn.XLOOKUP(N42,enums!$C:$C,enums!$B:$B,"")</f>
        <v>现代超级跑车</v>
      </c>
      <c r="N42" s="6" t="s">
        <v>48</v>
      </c>
    </row>
    <row r="43" ht="33" spans="1:14">
      <c r="A43" s="8" t="s">
        <v>203</v>
      </c>
      <c r="B43" s="9">
        <v>9</v>
      </c>
      <c r="C43" s="9">
        <v>46</v>
      </c>
      <c r="D43" s="9" t="s">
        <v>176</v>
      </c>
      <c r="E43" s="9">
        <v>9</v>
      </c>
      <c r="F43" s="9" t="s">
        <v>204</v>
      </c>
      <c r="G43" s="10" t="s">
        <v>114</v>
      </c>
      <c r="H43" s="8" t="s">
        <v>26</v>
      </c>
      <c r="I43" s="12">
        <v>60000</v>
      </c>
      <c r="J43" s="14" t="s">
        <v>39</v>
      </c>
      <c r="K43" s="9" t="s">
        <v>125</v>
      </c>
      <c r="L43" s="9" t="s">
        <v>205</v>
      </c>
      <c r="M43" s="5" t="str">
        <f>_xlfn.XLOOKUP(N43,enums!$C:$C,enums!$B:$B,"")</f>
        <v>现代超级轿车</v>
      </c>
      <c r="N43" s="6" t="s">
        <v>64</v>
      </c>
    </row>
    <row r="44" ht="33" spans="1:14">
      <c r="A44" s="8" t="s">
        <v>206</v>
      </c>
      <c r="B44" s="9">
        <v>9</v>
      </c>
      <c r="C44" s="9">
        <v>46</v>
      </c>
      <c r="D44" s="9" t="s">
        <v>176</v>
      </c>
      <c r="E44" s="9">
        <v>10</v>
      </c>
      <c r="F44" s="9" t="s">
        <v>207</v>
      </c>
      <c r="G44" s="10" t="s">
        <v>114</v>
      </c>
      <c r="H44" s="8" t="s">
        <v>26</v>
      </c>
      <c r="I44" s="12">
        <v>21000</v>
      </c>
      <c r="J44" s="13" t="s">
        <v>19</v>
      </c>
      <c r="K44" s="9" t="s">
        <v>125</v>
      </c>
      <c r="L44" s="9" t="s">
        <v>208</v>
      </c>
      <c r="M44" s="5" t="str">
        <f>_xlfn.XLOOKUP(N44,enums!$C:$C,enums!$B:$B,"")</f>
        <v>高性能掀背车</v>
      </c>
      <c r="N44" s="6" t="s">
        <v>22</v>
      </c>
    </row>
    <row r="45" ht="49.5" spans="1:14">
      <c r="A45" s="8" t="s">
        <v>209</v>
      </c>
      <c r="B45" s="9">
        <v>9</v>
      </c>
      <c r="C45" s="9">
        <v>46</v>
      </c>
      <c r="D45" s="9" t="s">
        <v>176</v>
      </c>
      <c r="E45" s="9">
        <v>11</v>
      </c>
      <c r="F45" s="9" t="s">
        <v>210</v>
      </c>
      <c r="G45" s="10" t="s">
        <v>136</v>
      </c>
      <c r="H45" s="8" t="s">
        <v>211</v>
      </c>
      <c r="I45" s="12">
        <v>100000</v>
      </c>
      <c r="J45" s="15" t="s">
        <v>46</v>
      </c>
      <c r="K45" s="9" t="s">
        <v>125</v>
      </c>
      <c r="L45" s="9" t="s">
        <v>212</v>
      </c>
      <c r="M45" s="5" t="str">
        <f>_xlfn.XLOOKUP(N45,enums!$C:$C,enums!$B:$B,"")</f>
        <v>现代超级跑车</v>
      </c>
      <c r="N45" s="6" t="s">
        <v>48</v>
      </c>
    </row>
    <row r="46" ht="33" spans="1:14">
      <c r="A46" s="8" t="s">
        <v>213</v>
      </c>
      <c r="B46" s="9">
        <v>9</v>
      </c>
      <c r="C46" s="9">
        <v>46</v>
      </c>
      <c r="D46" s="9" t="s">
        <v>176</v>
      </c>
      <c r="E46" s="9">
        <v>12</v>
      </c>
      <c r="F46" s="9" t="s">
        <v>214</v>
      </c>
      <c r="G46" s="10" t="s">
        <v>136</v>
      </c>
      <c r="H46" s="8" t="s">
        <v>26</v>
      </c>
      <c r="I46" s="12">
        <v>55000</v>
      </c>
      <c r="J46" s="15" t="s">
        <v>46</v>
      </c>
      <c r="K46" s="9" t="s">
        <v>125</v>
      </c>
      <c r="L46" s="9" t="s">
        <v>215</v>
      </c>
      <c r="M46" s="5" t="str">
        <f>_xlfn.XLOOKUP(N46,enums!$C:$C,enums!$B:$B,"")</f>
        <v>现代超级轿车</v>
      </c>
      <c r="N46" s="6" t="s">
        <v>64</v>
      </c>
    </row>
    <row r="47" ht="33" spans="1:14">
      <c r="A47" s="8" t="s">
        <v>216</v>
      </c>
      <c r="B47" s="9">
        <v>9</v>
      </c>
      <c r="C47" s="9">
        <v>46</v>
      </c>
      <c r="D47" s="9" t="s">
        <v>176</v>
      </c>
      <c r="E47" s="9">
        <v>13</v>
      </c>
      <c r="F47" s="9" t="s">
        <v>217</v>
      </c>
      <c r="G47" s="10" t="s">
        <v>136</v>
      </c>
      <c r="H47" s="8" t="s">
        <v>26</v>
      </c>
      <c r="I47" s="12">
        <v>30000</v>
      </c>
      <c r="J47" s="14" t="s">
        <v>39</v>
      </c>
      <c r="K47" s="9" t="s">
        <v>125</v>
      </c>
      <c r="L47" s="9" t="s">
        <v>218</v>
      </c>
      <c r="M47" s="5" t="str">
        <f>_xlfn.XLOOKUP(N47,enums!$C:$C,enums!$B:$B,"")</f>
        <v>现代超级轿车</v>
      </c>
      <c r="N47" s="6" t="s">
        <v>64</v>
      </c>
    </row>
    <row r="48" ht="33" spans="1:14">
      <c r="A48" s="8" t="s">
        <v>219</v>
      </c>
      <c r="B48" s="9">
        <v>9</v>
      </c>
      <c r="C48" s="9">
        <v>46</v>
      </c>
      <c r="D48" s="9" t="s">
        <v>176</v>
      </c>
      <c r="E48" s="9">
        <v>14</v>
      </c>
      <c r="F48" s="9" t="s">
        <v>220</v>
      </c>
      <c r="G48" s="10" t="s">
        <v>221</v>
      </c>
      <c r="H48" s="8" t="s">
        <v>26</v>
      </c>
      <c r="I48" s="12">
        <v>25000</v>
      </c>
      <c r="J48" s="14" t="s">
        <v>39</v>
      </c>
      <c r="K48" s="9" t="s">
        <v>125</v>
      </c>
      <c r="L48" s="9" t="s">
        <v>222</v>
      </c>
      <c r="M48" s="5" t="str">
        <f>_xlfn.XLOOKUP(N48,enums!$C:$C,enums!$B:$B,"")</f>
        <v>现代超级轿车</v>
      </c>
      <c r="N48" s="6" t="s">
        <v>64</v>
      </c>
    </row>
    <row r="49" ht="33" spans="1:14">
      <c r="A49" s="8" t="s">
        <v>223</v>
      </c>
      <c r="B49" s="9">
        <v>9</v>
      </c>
      <c r="C49" s="9">
        <v>46</v>
      </c>
      <c r="D49" s="9" t="s">
        <v>176</v>
      </c>
      <c r="E49" s="9">
        <v>15</v>
      </c>
      <c r="F49" s="9" t="s">
        <v>224</v>
      </c>
      <c r="G49" s="10" t="s">
        <v>221</v>
      </c>
      <c r="H49" s="8" t="s">
        <v>26</v>
      </c>
      <c r="I49" s="12">
        <v>20000</v>
      </c>
      <c r="J49" s="13" t="s">
        <v>19</v>
      </c>
      <c r="K49" s="9" t="s">
        <v>125</v>
      </c>
      <c r="L49" s="9" t="s">
        <v>225</v>
      </c>
      <c r="M49" s="5" t="str">
        <f>_xlfn.XLOOKUP(N49,enums!$C:$C,enums!$B:$B,"")</f>
        <v>超高性能掀背车</v>
      </c>
      <c r="N49" s="6" t="s">
        <v>226</v>
      </c>
    </row>
    <row r="50" ht="33" spans="1:14">
      <c r="A50" s="8" t="s">
        <v>227</v>
      </c>
      <c r="B50" s="9">
        <v>9</v>
      </c>
      <c r="C50" s="9">
        <v>46</v>
      </c>
      <c r="D50" s="9" t="s">
        <v>176</v>
      </c>
      <c r="E50" s="9">
        <v>16</v>
      </c>
      <c r="F50" s="9" t="s">
        <v>228</v>
      </c>
      <c r="G50" s="10" t="s">
        <v>229</v>
      </c>
      <c r="H50" s="8" t="s">
        <v>26</v>
      </c>
      <c r="I50" s="12">
        <v>35000</v>
      </c>
      <c r="J50" s="14" t="s">
        <v>39</v>
      </c>
      <c r="K50" s="9" t="s">
        <v>125</v>
      </c>
      <c r="L50" s="9" t="s">
        <v>92</v>
      </c>
      <c r="M50" s="5" t="str">
        <f>_xlfn.XLOOKUP(N50,enums!$C:$C,enums!$B:$B,"")</f>
        <v>现代跑车</v>
      </c>
      <c r="N50" s="6" t="s">
        <v>74</v>
      </c>
    </row>
    <row r="51" ht="33" spans="1:14">
      <c r="A51" s="8" t="s">
        <v>230</v>
      </c>
      <c r="B51" s="9">
        <v>9</v>
      </c>
      <c r="C51" s="9">
        <v>46</v>
      </c>
      <c r="D51" s="9" t="s">
        <v>176</v>
      </c>
      <c r="E51" s="9">
        <v>17</v>
      </c>
      <c r="F51" s="9" t="s">
        <v>231</v>
      </c>
      <c r="G51" s="10" t="s">
        <v>232</v>
      </c>
      <c r="H51" s="8" t="s">
        <v>26</v>
      </c>
      <c r="I51" s="12">
        <v>900000</v>
      </c>
      <c r="J51" s="14" t="s">
        <v>39</v>
      </c>
      <c r="K51" s="9" t="s">
        <v>125</v>
      </c>
      <c r="L51" s="9" t="s">
        <v>233</v>
      </c>
      <c r="M51" s="5" t="str">
        <f>_xlfn.XLOOKUP(N51,enums!$C:$C,enums!$B:$B,"")</f>
        <v>极限赛道玩具</v>
      </c>
      <c r="N51" s="6" t="s">
        <v>127</v>
      </c>
    </row>
    <row r="52" ht="33" spans="1:14">
      <c r="A52" s="8" t="s">
        <v>234</v>
      </c>
      <c r="B52" s="9">
        <v>9</v>
      </c>
      <c r="C52" s="9">
        <v>46</v>
      </c>
      <c r="D52" s="9" t="s">
        <v>176</v>
      </c>
      <c r="E52" s="9">
        <v>18</v>
      </c>
      <c r="F52" s="9" t="s">
        <v>235</v>
      </c>
      <c r="G52" s="10" t="s">
        <v>232</v>
      </c>
      <c r="H52" s="8" t="s">
        <v>26</v>
      </c>
      <c r="I52" s="12">
        <v>42000</v>
      </c>
      <c r="J52" s="15" t="s">
        <v>46</v>
      </c>
      <c r="K52" s="9" t="s">
        <v>125</v>
      </c>
      <c r="L52" s="9" t="s">
        <v>236</v>
      </c>
      <c r="M52" s="5" t="str">
        <f>_xlfn.XLOOKUP(N52,enums!$C:$C,enums!$B:$B,"")</f>
        <v>现代超级轿车</v>
      </c>
      <c r="N52" s="6" t="s">
        <v>64</v>
      </c>
    </row>
    <row r="53" ht="33" spans="1:14">
      <c r="A53" s="8" t="s">
        <v>237</v>
      </c>
      <c r="B53" s="9">
        <v>9</v>
      </c>
      <c r="C53" s="9">
        <v>46</v>
      </c>
      <c r="D53" s="9" t="s">
        <v>176</v>
      </c>
      <c r="E53" s="9">
        <v>19</v>
      </c>
      <c r="F53" s="9" t="s">
        <v>238</v>
      </c>
      <c r="G53" s="10" t="s">
        <v>239</v>
      </c>
      <c r="H53" s="8" t="s">
        <v>26</v>
      </c>
      <c r="I53" s="12">
        <v>75000</v>
      </c>
      <c r="J53" s="14" t="s">
        <v>39</v>
      </c>
      <c r="K53" s="9" t="s">
        <v>125</v>
      </c>
      <c r="L53" s="9" t="s">
        <v>92</v>
      </c>
      <c r="M53" s="5" t="str">
        <f>_xlfn.XLOOKUP(N53,enums!$C:$C,enums!$B:$B,"")</f>
        <v>现代超级轿车</v>
      </c>
      <c r="N53" s="6" t="s">
        <v>64</v>
      </c>
    </row>
    <row r="54" ht="33" spans="1:14">
      <c r="A54" s="8" t="s">
        <v>240</v>
      </c>
      <c r="B54" s="9">
        <v>9</v>
      </c>
      <c r="C54" s="9">
        <v>46</v>
      </c>
      <c r="D54" s="9" t="s">
        <v>176</v>
      </c>
      <c r="E54" s="9">
        <v>20</v>
      </c>
      <c r="F54" s="9" t="s">
        <v>241</v>
      </c>
      <c r="G54" s="10" t="s">
        <v>242</v>
      </c>
      <c r="H54" s="8" t="s">
        <v>26</v>
      </c>
      <c r="I54" s="12">
        <v>35000</v>
      </c>
      <c r="J54" s="14" t="s">
        <v>39</v>
      </c>
      <c r="K54" s="9" t="s">
        <v>125</v>
      </c>
      <c r="L54" s="9" t="s">
        <v>243</v>
      </c>
      <c r="M54" s="5" t="str">
        <f>_xlfn.XLOOKUP(N54,enums!$C:$C,enums!$B:$B,"")</f>
        <v>复古超级跑车</v>
      </c>
      <c r="N54" s="6" t="s">
        <v>84</v>
      </c>
    </row>
    <row r="55" ht="33" spans="1:14">
      <c r="A55" s="8" t="s">
        <v>244</v>
      </c>
      <c r="B55" s="9">
        <v>9</v>
      </c>
      <c r="C55" s="9">
        <v>46</v>
      </c>
      <c r="D55" s="9" t="s">
        <v>176</v>
      </c>
      <c r="E55" s="9">
        <v>21</v>
      </c>
      <c r="F55" s="9" t="s">
        <v>245</v>
      </c>
      <c r="G55" s="10" t="s">
        <v>56</v>
      </c>
      <c r="H55" s="8" t="s">
        <v>26</v>
      </c>
      <c r="I55" s="12">
        <v>175000</v>
      </c>
      <c r="J55" s="13" t="s">
        <v>19</v>
      </c>
      <c r="K55" s="9" t="s">
        <v>125</v>
      </c>
      <c r="L55" s="9" t="s">
        <v>246</v>
      </c>
      <c r="M55" s="5" t="str">
        <f>_xlfn.XLOOKUP(N55,enums!$C:$C,enums!$B:$B,"")</f>
        <v>复古超级跑车</v>
      </c>
      <c r="N55" s="6" t="s">
        <v>84</v>
      </c>
    </row>
    <row r="56" ht="33" spans="1:14">
      <c r="A56" s="8" t="s">
        <v>247</v>
      </c>
      <c r="B56" s="9">
        <v>9</v>
      </c>
      <c r="C56" s="9">
        <v>46</v>
      </c>
      <c r="D56" s="9" t="s">
        <v>176</v>
      </c>
      <c r="E56" s="9">
        <v>22</v>
      </c>
      <c r="F56" s="9" t="s">
        <v>248</v>
      </c>
      <c r="G56" s="10" t="s">
        <v>249</v>
      </c>
      <c r="H56" s="8" t="s">
        <v>26</v>
      </c>
      <c r="I56" s="12">
        <v>750000</v>
      </c>
      <c r="J56" s="16" t="s">
        <v>91</v>
      </c>
      <c r="K56" s="9" t="s">
        <v>125</v>
      </c>
      <c r="L56" s="9" t="s">
        <v>250</v>
      </c>
      <c r="M56" s="5" t="str">
        <f>_xlfn.XLOOKUP(N56,enums!$C:$C,enums!$B:$B,"")</f>
        <v>拉力赛怪物</v>
      </c>
      <c r="N56" s="17" t="s">
        <v>251</v>
      </c>
    </row>
    <row r="57" ht="33" spans="1:14">
      <c r="A57" s="8" t="s">
        <v>252</v>
      </c>
      <c r="B57" s="9">
        <v>9</v>
      </c>
      <c r="C57" s="9">
        <v>46</v>
      </c>
      <c r="D57" s="9" t="s">
        <v>176</v>
      </c>
      <c r="E57" s="9">
        <v>23</v>
      </c>
      <c r="F57" s="9" t="s">
        <v>253</v>
      </c>
      <c r="G57" s="10" t="s">
        <v>254</v>
      </c>
      <c r="H57" s="8" t="s">
        <v>124</v>
      </c>
      <c r="I57" s="12">
        <v>650000</v>
      </c>
      <c r="J57" s="15" t="s">
        <v>46</v>
      </c>
      <c r="K57" s="9" t="s">
        <v>125</v>
      </c>
      <c r="L57" s="9" t="s">
        <v>255</v>
      </c>
      <c r="M57" s="5" t="str">
        <f>_xlfn.XLOOKUP(N57,enums!$C:$C,enums!$B:$B,"")</f>
        <v>复古拉力赛车</v>
      </c>
      <c r="N57" s="17" t="s">
        <v>256</v>
      </c>
    </row>
    <row r="58" spans="1:14">
      <c r="A58" s="8" t="s">
        <v>257</v>
      </c>
      <c r="B58" s="9">
        <v>10</v>
      </c>
      <c r="C58" s="9">
        <v>6</v>
      </c>
      <c r="D58" s="9" t="s">
        <v>258</v>
      </c>
      <c r="E58" s="9">
        <v>1</v>
      </c>
      <c r="F58" s="9" t="s">
        <v>259</v>
      </c>
      <c r="G58" s="10" t="s">
        <v>96</v>
      </c>
      <c r="H58" s="8" t="s">
        <v>26</v>
      </c>
      <c r="I58" s="12">
        <v>75000</v>
      </c>
      <c r="J58" s="13" t="s">
        <v>19</v>
      </c>
      <c r="K58" s="9" t="s">
        <v>132</v>
      </c>
      <c r="L58" s="9" t="s">
        <v>260</v>
      </c>
      <c r="M58" s="5" t="str">
        <f>_xlfn.XLOOKUP(N58,enums!$C:$C,enums!$B:$B,"")</f>
        <v>经典跑车</v>
      </c>
      <c r="N58" s="6" t="s">
        <v>261</v>
      </c>
    </row>
    <row r="59" spans="1:14">
      <c r="A59" s="8" t="s">
        <v>262</v>
      </c>
      <c r="B59" s="9">
        <v>11</v>
      </c>
      <c r="C59" s="9">
        <v>7</v>
      </c>
      <c r="D59" s="9" t="s">
        <v>263</v>
      </c>
      <c r="E59" s="9">
        <v>1</v>
      </c>
      <c r="F59" s="9" t="s">
        <v>264</v>
      </c>
      <c r="G59" s="10" t="s">
        <v>265</v>
      </c>
      <c r="H59" s="8" t="s">
        <v>26</v>
      </c>
      <c r="I59" s="12">
        <v>38000</v>
      </c>
      <c r="J59" s="14" t="s">
        <v>39</v>
      </c>
      <c r="K59" s="9" t="s">
        <v>266</v>
      </c>
      <c r="L59" s="9" t="s">
        <v>267</v>
      </c>
      <c r="M59" s="5" t="str">
        <f>_xlfn.XLOOKUP(N59,enums!$C:$C,enums!$B:$B,"")</f>
        <v>家庭多用</v>
      </c>
      <c r="N59" s="6" t="s">
        <v>268</v>
      </c>
    </row>
    <row r="60" spans="1:14">
      <c r="A60" s="8" t="s">
        <v>269</v>
      </c>
      <c r="B60" s="9">
        <v>12</v>
      </c>
      <c r="C60" s="9">
        <v>8</v>
      </c>
      <c r="D60" s="9" t="s">
        <v>270</v>
      </c>
      <c r="E60" s="9">
        <v>1</v>
      </c>
      <c r="F60" s="9" t="s">
        <v>271</v>
      </c>
      <c r="G60" s="10" t="s">
        <v>71</v>
      </c>
      <c r="H60" s="8" t="s">
        <v>26</v>
      </c>
      <c r="I60" s="12">
        <v>196000</v>
      </c>
      <c r="J60" s="15" t="s">
        <v>46</v>
      </c>
      <c r="K60" s="9" t="s">
        <v>132</v>
      </c>
      <c r="L60" s="9" t="s">
        <v>272</v>
      </c>
      <c r="M60" s="5" t="str">
        <f>_xlfn.XLOOKUP(N60,enums!$C:$C,enums!$B:$B,"")</f>
        <v>赛道玩具</v>
      </c>
      <c r="N60" s="6" t="s">
        <v>273</v>
      </c>
    </row>
    <row r="61" ht="49.5" spans="1:14">
      <c r="A61" s="8" t="s">
        <v>274</v>
      </c>
      <c r="B61" s="9">
        <v>13</v>
      </c>
      <c r="C61" s="9">
        <v>53</v>
      </c>
      <c r="D61" s="9" t="s">
        <v>275</v>
      </c>
      <c r="E61" s="9">
        <v>1</v>
      </c>
      <c r="F61" s="9" t="s">
        <v>276</v>
      </c>
      <c r="G61" s="10" t="s">
        <v>61</v>
      </c>
      <c r="H61" s="8" t="s">
        <v>277</v>
      </c>
      <c r="I61" s="12">
        <v>170000</v>
      </c>
      <c r="J61" s="14" t="s">
        <v>39</v>
      </c>
      <c r="K61" s="9" t="s">
        <v>132</v>
      </c>
      <c r="L61" s="9" t="s">
        <v>278</v>
      </c>
      <c r="M61" s="5" t="str">
        <f>_xlfn.XLOOKUP(N61,enums!$C:$C,enums!$B:$B,"")</f>
        <v>GT 赛车</v>
      </c>
      <c r="N61" s="6" t="s">
        <v>79</v>
      </c>
    </row>
    <row r="62" ht="33" spans="1:14">
      <c r="A62" s="8" t="s">
        <v>279</v>
      </c>
      <c r="B62" s="9">
        <v>13</v>
      </c>
      <c r="C62" s="9">
        <v>53</v>
      </c>
      <c r="D62" s="9" t="s">
        <v>275</v>
      </c>
      <c r="E62" s="9">
        <v>2</v>
      </c>
      <c r="F62" s="9" t="s">
        <v>280</v>
      </c>
      <c r="G62" s="10" t="s">
        <v>17</v>
      </c>
      <c r="H62" s="8" t="s">
        <v>124</v>
      </c>
      <c r="I62" s="12">
        <v>250000</v>
      </c>
      <c r="J62" s="15" t="s">
        <v>46</v>
      </c>
      <c r="K62" s="9" t="s">
        <v>132</v>
      </c>
      <c r="L62" s="9" t="s">
        <v>281</v>
      </c>
      <c r="M62" s="5" t="str">
        <f>_xlfn.XLOOKUP(N62,enums!$C:$C,enums!$B:$B,"")</f>
        <v>运动型多功能英雄车</v>
      </c>
      <c r="N62" s="6" t="s">
        <v>150</v>
      </c>
    </row>
    <row r="63" ht="33" spans="1:14">
      <c r="A63" s="8" t="s">
        <v>282</v>
      </c>
      <c r="B63" s="9">
        <v>14</v>
      </c>
      <c r="C63" s="9">
        <v>47</v>
      </c>
      <c r="D63" s="9" t="s">
        <v>283</v>
      </c>
      <c r="E63" s="9">
        <v>1</v>
      </c>
      <c r="F63" s="9" t="s">
        <v>284</v>
      </c>
      <c r="G63" s="10" t="s">
        <v>285</v>
      </c>
      <c r="H63" s="8" t="s">
        <v>26</v>
      </c>
      <c r="I63" s="12">
        <v>140000</v>
      </c>
      <c r="J63" s="15" t="s">
        <v>46</v>
      </c>
      <c r="K63" s="9" t="s">
        <v>125</v>
      </c>
      <c r="L63" s="9" t="s">
        <v>286</v>
      </c>
      <c r="M63" s="5" t="str">
        <f>_xlfn.XLOOKUP(N63,enums!$C:$C,enums!$B:$B,"")</f>
        <v>运动型多功能英雄车</v>
      </c>
      <c r="N63" s="6" t="s">
        <v>150</v>
      </c>
    </row>
    <row r="64" ht="49.5" spans="1:14">
      <c r="A64" s="8" t="s">
        <v>287</v>
      </c>
      <c r="B64" s="9">
        <v>14</v>
      </c>
      <c r="C64" s="9">
        <v>47</v>
      </c>
      <c r="D64" s="9" t="s">
        <v>283</v>
      </c>
      <c r="E64" s="9">
        <v>2</v>
      </c>
      <c r="F64" s="9" t="s">
        <v>288</v>
      </c>
      <c r="G64" s="10" t="s">
        <v>37</v>
      </c>
      <c r="H64" s="8" t="s">
        <v>289</v>
      </c>
      <c r="I64" s="12">
        <v>500000</v>
      </c>
      <c r="J64" s="18" t="s">
        <v>290</v>
      </c>
      <c r="K64" s="9" t="s">
        <v>125</v>
      </c>
      <c r="L64" s="9" t="s">
        <v>291</v>
      </c>
      <c r="M64" s="5" t="str">
        <f>_xlfn.XLOOKUP(N64,enums!$C:$C,enums!$B:$B,"")</f>
        <v>赛道玩具</v>
      </c>
      <c r="N64" s="6" t="s">
        <v>273</v>
      </c>
    </row>
    <row r="65" ht="33" spans="1:14">
      <c r="A65" s="8" t="s">
        <v>292</v>
      </c>
      <c r="B65" s="9">
        <v>14</v>
      </c>
      <c r="C65" s="9">
        <v>47</v>
      </c>
      <c r="D65" s="9" t="s">
        <v>283</v>
      </c>
      <c r="E65" s="9">
        <v>3</v>
      </c>
      <c r="F65" s="9" t="s">
        <v>293</v>
      </c>
      <c r="G65" s="10" t="s">
        <v>37</v>
      </c>
      <c r="H65" s="8" t="s">
        <v>26</v>
      </c>
      <c r="I65" s="12">
        <v>67000</v>
      </c>
      <c r="J65" s="14" t="s">
        <v>39</v>
      </c>
      <c r="K65" s="9" t="s">
        <v>125</v>
      </c>
      <c r="L65" s="9" t="s">
        <v>294</v>
      </c>
      <c r="M65" s="5" t="str">
        <f>_xlfn.XLOOKUP(N65,enums!$C:$C,enums!$B:$B,"")</f>
        <v>现代超级轿车</v>
      </c>
      <c r="N65" s="6" t="s">
        <v>64</v>
      </c>
    </row>
    <row r="66" ht="33" spans="1:14">
      <c r="A66" s="8" t="s">
        <v>295</v>
      </c>
      <c r="B66" s="9">
        <v>14</v>
      </c>
      <c r="C66" s="9">
        <v>47</v>
      </c>
      <c r="D66" s="9" t="s">
        <v>283</v>
      </c>
      <c r="E66" s="9">
        <v>4</v>
      </c>
      <c r="F66" s="9" t="s">
        <v>296</v>
      </c>
      <c r="G66" s="10" t="s">
        <v>44</v>
      </c>
      <c r="H66" s="8" t="s">
        <v>26</v>
      </c>
      <c r="I66" s="12">
        <v>150000</v>
      </c>
      <c r="J66" s="14" t="s">
        <v>39</v>
      </c>
      <c r="K66" s="9" t="s">
        <v>125</v>
      </c>
      <c r="L66" s="9" t="s">
        <v>297</v>
      </c>
      <c r="M66" s="5" t="str">
        <f>_xlfn.XLOOKUP(N66,enums!$C:$C,enums!$B:$B,"")</f>
        <v>现代超级轿车</v>
      </c>
      <c r="N66" s="6" t="s">
        <v>64</v>
      </c>
    </row>
    <row r="67" ht="33" spans="1:14">
      <c r="A67" s="8" t="s">
        <v>298</v>
      </c>
      <c r="B67" s="9">
        <v>14</v>
      </c>
      <c r="C67" s="9">
        <v>47</v>
      </c>
      <c r="D67" s="9" t="s">
        <v>283</v>
      </c>
      <c r="E67" s="9">
        <v>5</v>
      </c>
      <c r="F67" s="9" t="s">
        <v>299</v>
      </c>
      <c r="G67" s="10" t="s">
        <v>44</v>
      </c>
      <c r="H67" s="8" t="s">
        <v>26</v>
      </c>
      <c r="I67" s="12">
        <v>37000</v>
      </c>
      <c r="J67" s="14" t="s">
        <v>39</v>
      </c>
      <c r="K67" s="9" t="s">
        <v>125</v>
      </c>
      <c r="L67" s="9" t="s">
        <v>300</v>
      </c>
      <c r="M67" s="5" t="str">
        <f>_xlfn.XLOOKUP(N67,enums!$C:$C,enums!$B:$B,"")</f>
        <v>运动型多功能英雄车</v>
      </c>
      <c r="N67" s="6" t="s">
        <v>150</v>
      </c>
    </row>
    <row r="68" ht="33" spans="1:15">
      <c r="A68" s="8" t="s">
        <v>301</v>
      </c>
      <c r="B68" s="9">
        <v>14</v>
      </c>
      <c r="C68" s="9">
        <v>47</v>
      </c>
      <c r="D68" s="9" t="s">
        <v>283</v>
      </c>
      <c r="E68" s="9">
        <v>6</v>
      </c>
      <c r="F68" s="9" t="s">
        <v>302</v>
      </c>
      <c r="G68" s="10" t="s">
        <v>61</v>
      </c>
      <c r="H68" s="8" t="s">
        <v>303</v>
      </c>
      <c r="I68" s="12">
        <v>150000</v>
      </c>
      <c r="J68" s="16" t="s">
        <v>91</v>
      </c>
      <c r="K68" s="9" t="s">
        <v>125</v>
      </c>
      <c r="L68" s="9" t="s">
        <v>304</v>
      </c>
      <c r="M68" s="5" t="str">
        <f>_xlfn.XLOOKUP(N68,enums!$C:$C,enums!$B:$B,"")</f>
        <v>现代超级轿车</v>
      </c>
      <c r="N68" s="17" t="s">
        <v>64</v>
      </c>
      <c r="O68" s="5" t="e">
        <v>#N/A</v>
      </c>
    </row>
    <row r="69" ht="33" spans="1:14">
      <c r="A69" s="8" t="s">
        <v>305</v>
      </c>
      <c r="B69" s="9">
        <v>14</v>
      </c>
      <c r="C69" s="9">
        <v>47</v>
      </c>
      <c r="D69" s="9" t="s">
        <v>283</v>
      </c>
      <c r="E69" s="9">
        <v>7</v>
      </c>
      <c r="F69" s="9" t="s">
        <v>306</v>
      </c>
      <c r="G69" s="10" t="s">
        <v>61</v>
      </c>
      <c r="H69" s="8" t="s">
        <v>26</v>
      </c>
      <c r="I69" s="12">
        <v>64000</v>
      </c>
      <c r="J69" s="14" t="s">
        <v>39</v>
      </c>
      <c r="K69" s="9" t="s">
        <v>125</v>
      </c>
      <c r="L69" s="9" t="s">
        <v>307</v>
      </c>
      <c r="M69" s="5" t="str">
        <f>_xlfn.XLOOKUP(N69,enums!$C:$C,enums!$B:$B,"")</f>
        <v>现代超级轿车</v>
      </c>
      <c r="N69" s="6" t="s">
        <v>64</v>
      </c>
    </row>
    <row r="70" ht="33" spans="1:14">
      <c r="A70" s="8" t="s">
        <v>308</v>
      </c>
      <c r="B70" s="9">
        <v>14</v>
      </c>
      <c r="C70" s="9">
        <v>47</v>
      </c>
      <c r="D70" s="9" t="s">
        <v>283</v>
      </c>
      <c r="E70" s="9">
        <v>8</v>
      </c>
      <c r="F70" s="9" t="s">
        <v>309</v>
      </c>
      <c r="G70" s="10" t="s">
        <v>191</v>
      </c>
      <c r="H70" s="8" t="s">
        <v>38</v>
      </c>
      <c r="I70" s="12">
        <v>100000</v>
      </c>
      <c r="J70" s="14" t="s">
        <v>39</v>
      </c>
      <c r="K70" s="9" t="s">
        <v>125</v>
      </c>
      <c r="L70" s="9" t="s">
        <v>310</v>
      </c>
      <c r="M70" s="5" t="str">
        <f>_xlfn.XLOOKUP(N70,enums!$C:$C,enums!$B:$B,"")</f>
        <v>GT 赛车</v>
      </c>
      <c r="N70" s="6" t="s">
        <v>79</v>
      </c>
    </row>
    <row r="71" ht="33" spans="1:14">
      <c r="A71" s="8" t="s">
        <v>311</v>
      </c>
      <c r="B71" s="9">
        <v>14</v>
      </c>
      <c r="C71" s="9">
        <v>47</v>
      </c>
      <c r="D71" s="9" t="s">
        <v>283</v>
      </c>
      <c r="E71" s="9">
        <v>9</v>
      </c>
      <c r="F71" s="9" t="s">
        <v>312</v>
      </c>
      <c r="G71" s="10" t="s">
        <v>191</v>
      </c>
      <c r="H71" s="8" t="s">
        <v>313</v>
      </c>
      <c r="I71" s="12">
        <v>250000</v>
      </c>
      <c r="J71" s="15" t="s">
        <v>46</v>
      </c>
      <c r="K71" s="9" t="s">
        <v>125</v>
      </c>
      <c r="L71" s="9" t="s">
        <v>314</v>
      </c>
      <c r="M71" s="5" t="str">
        <f>_xlfn.XLOOKUP(N71,enums!$C:$C,enums!$B:$B,"")</f>
        <v>现代超级轿车</v>
      </c>
      <c r="N71" s="6" t="s">
        <v>64</v>
      </c>
    </row>
    <row r="72" ht="49.5" spans="1:14">
      <c r="A72" s="8" t="s">
        <v>315</v>
      </c>
      <c r="B72" s="9">
        <v>14</v>
      </c>
      <c r="C72" s="9">
        <v>47</v>
      </c>
      <c r="D72" s="9" t="s">
        <v>283</v>
      </c>
      <c r="E72" s="9">
        <v>10</v>
      </c>
      <c r="F72" s="9" t="s">
        <v>316</v>
      </c>
      <c r="G72" s="10" t="s">
        <v>123</v>
      </c>
      <c r="H72" s="8" t="s">
        <v>317</v>
      </c>
      <c r="I72" s="12">
        <v>38000</v>
      </c>
      <c r="J72" s="13" t="s">
        <v>19</v>
      </c>
      <c r="K72" s="9" t="s">
        <v>125</v>
      </c>
      <c r="L72" s="9" t="s">
        <v>318</v>
      </c>
      <c r="M72" s="5" t="str">
        <f>_xlfn.XLOOKUP(N72,enums!$C:$C,enums!$B:$B,"")</f>
        <v>现代跑车</v>
      </c>
      <c r="N72" s="6" t="s">
        <v>74</v>
      </c>
    </row>
    <row r="73" ht="33" spans="1:14">
      <c r="A73" s="8" t="s">
        <v>319</v>
      </c>
      <c r="B73" s="9">
        <v>14</v>
      </c>
      <c r="C73" s="9">
        <v>47</v>
      </c>
      <c r="D73" s="9" t="s">
        <v>283</v>
      </c>
      <c r="E73" s="9">
        <v>11</v>
      </c>
      <c r="F73" s="9" t="s">
        <v>320</v>
      </c>
      <c r="G73" s="10" t="s">
        <v>17</v>
      </c>
      <c r="H73" s="8" t="s">
        <v>26</v>
      </c>
      <c r="I73" s="12">
        <v>125000</v>
      </c>
      <c r="J73" s="15" t="s">
        <v>46</v>
      </c>
      <c r="K73" s="9" t="s">
        <v>125</v>
      </c>
      <c r="L73" s="9" t="s">
        <v>321</v>
      </c>
      <c r="M73" s="5" t="str">
        <f>_xlfn.XLOOKUP(N73,enums!$C:$C,enums!$B:$B,"")</f>
        <v>赛道玩具</v>
      </c>
      <c r="N73" s="6" t="s">
        <v>273</v>
      </c>
    </row>
    <row r="74" ht="33" spans="1:14">
      <c r="A74" s="8" t="s">
        <v>322</v>
      </c>
      <c r="B74" s="9">
        <v>14</v>
      </c>
      <c r="C74" s="9">
        <v>47</v>
      </c>
      <c r="D74" s="9" t="s">
        <v>283</v>
      </c>
      <c r="E74" s="9">
        <v>12</v>
      </c>
      <c r="F74" s="9" t="s">
        <v>323</v>
      </c>
      <c r="G74" s="10" t="s">
        <v>114</v>
      </c>
      <c r="H74" s="8" t="s">
        <v>26</v>
      </c>
      <c r="I74" s="12">
        <v>70000</v>
      </c>
      <c r="J74" s="14" t="s">
        <v>39</v>
      </c>
      <c r="K74" s="9" t="s">
        <v>125</v>
      </c>
      <c r="L74" s="9" t="s">
        <v>324</v>
      </c>
      <c r="M74" s="5" t="str">
        <f>_xlfn.XLOOKUP(N74,enums!$C:$C,enums!$B:$B,"")</f>
        <v>现代跑车</v>
      </c>
      <c r="N74" s="6" t="s">
        <v>74</v>
      </c>
    </row>
    <row r="75" ht="33" spans="1:14">
      <c r="A75" s="8" t="s">
        <v>325</v>
      </c>
      <c r="B75" s="9">
        <v>14</v>
      </c>
      <c r="C75" s="9">
        <v>47</v>
      </c>
      <c r="D75" s="9" t="s">
        <v>283</v>
      </c>
      <c r="E75" s="9">
        <v>13</v>
      </c>
      <c r="F75" s="9" t="s">
        <v>326</v>
      </c>
      <c r="G75" s="10" t="s">
        <v>71</v>
      </c>
      <c r="H75" s="8" t="s">
        <v>26</v>
      </c>
      <c r="I75" s="12">
        <v>55000</v>
      </c>
      <c r="J75" s="14" t="s">
        <v>39</v>
      </c>
      <c r="K75" s="9" t="s">
        <v>125</v>
      </c>
      <c r="L75" s="9" t="s">
        <v>166</v>
      </c>
      <c r="M75" s="5" t="str">
        <f>_xlfn.XLOOKUP(N75,enums!$C:$C,enums!$B:$B,"")</f>
        <v>现代超级轿车</v>
      </c>
      <c r="N75" s="6" t="s">
        <v>64</v>
      </c>
    </row>
    <row r="76" ht="33" spans="1:14">
      <c r="A76" s="8" t="s">
        <v>327</v>
      </c>
      <c r="B76" s="9">
        <v>14</v>
      </c>
      <c r="C76" s="9">
        <v>47</v>
      </c>
      <c r="D76" s="9" t="s">
        <v>283</v>
      </c>
      <c r="E76" s="9">
        <v>14</v>
      </c>
      <c r="F76" s="9" t="s">
        <v>328</v>
      </c>
      <c r="G76" s="10" t="s">
        <v>329</v>
      </c>
      <c r="H76" s="8" t="s">
        <v>26</v>
      </c>
      <c r="I76" s="12">
        <v>40000</v>
      </c>
      <c r="J76" s="14" t="s">
        <v>39</v>
      </c>
      <c r="K76" s="9" t="s">
        <v>125</v>
      </c>
      <c r="L76" s="9" t="s">
        <v>330</v>
      </c>
      <c r="M76" s="5" t="str">
        <f>_xlfn.XLOOKUP(N76,enums!$C:$C,enums!$B:$B,"")</f>
        <v>现代超级轿车</v>
      </c>
      <c r="N76" s="6" t="s">
        <v>64</v>
      </c>
    </row>
    <row r="77" ht="33" spans="1:14">
      <c r="A77" s="8" t="s">
        <v>331</v>
      </c>
      <c r="B77" s="9">
        <v>14</v>
      </c>
      <c r="C77" s="9">
        <v>47</v>
      </c>
      <c r="D77" s="9" t="s">
        <v>283</v>
      </c>
      <c r="E77" s="9">
        <v>15</v>
      </c>
      <c r="F77" s="9" t="s">
        <v>332</v>
      </c>
      <c r="G77" s="10" t="s">
        <v>221</v>
      </c>
      <c r="H77" s="8" t="s">
        <v>26</v>
      </c>
      <c r="I77" s="12">
        <v>24000</v>
      </c>
      <c r="J77" s="13" t="s">
        <v>19</v>
      </c>
      <c r="K77" s="9" t="s">
        <v>125</v>
      </c>
      <c r="L77" s="9" t="s">
        <v>333</v>
      </c>
      <c r="M77" s="5" t="str">
        <f>_xlfn.XLOOKUP(N77,enums!$C:$C,enums!$B:$B,"")</f>
        <v>运动型多功能英雄车</v>
      </c>
      <c r="N77" s="6" t="s">
        <v>150</v>
      </c>
    </row>
    <row r="78" ht="33" spans="1:14">
      <c r="A78" s="8" t="s">
        <v>334</v>
      </c>
      <c r="B78" s="9">
        <v>14</v>
      </c>
      <c r="C78" s="9">
        <v>47</v>
      </c>
      <c r="D78" s="9" t="s">
        <v>283</v>
      </c>
      <c r="E78" s="9">
        <v>16</v>
      </c>
      <c r="F78" s="9" t="s">
        <v>335</v>
      </c>
      <c r="G78" s="10" t="s">
        <v>229</v>
      </c>
      <c r="H78" s="8" t="s">
        <v>26</v>
      </c>
      <c r="I78" s="12">
        <v>198000</v>
      </c>
      <c r="J78" s="15" t="s">
        <v>46</v>
      </c>
      <c r="K78" s="9" t="s">
        <v>125</v>
      </c>
      <c r="L78" s="9" t="s">
        <v>336</v>
      </c>
      <c r="M78" s="5" t="str">
        <f>_xlfn.XLOOKUP(N78,enums!$C:$C,enums!$B:$B,"")</f>
        <v>赛道玩具</v>
      </c>
      <c r="N78" s="6" t="s">
        <v>273</v>
      </c>
    </row>
    <row r="79" ht="33" spans="1:14">
      <c r="A79" s="8" t="s">
        <v>337</v>
      </c>
      <c r="B79" s="9">
        <v>14</v>
      </c>
      <c r="C79" s="9">
        <v>47</v>
      </c>
      <c r="D79" s="9" t="s">
        <v>283</v>
      </c>
      <c r="E79" s="9">
        <v>17</v>
      </c>
      <c r="F79" s="9" t="s">
        <v>338</v>
      </c>
      <c r="G79" s="10" t="s">
        <v>232</v>
      </c>
      <c r="H79" s="8" t="s">
        <v>26</v>
      </c>
      <c r="I79" s="12">
        <v>54000</v>
      </c>
      <c r="J79" s="14" t="s">
        <v>39</v>
      </c>
      <c r="K79" s="9" t="s">
        <v>125</v>
      </c>
      <c r="L79" s="9" t="s">
        <v>300</v>
      </c>
      <c r="M79" s="5" t="str">
        <f>_xlfn.XLOOKUP(N79,enums!$C:$C,enums!$B:$B,"")</f>
        <v>现代超级轿车</v>
      </c>
      <c r="N79" s="6" t="s">
        <v>64</v>
      </c>
    </row>
    <row r="80" ht="33" spans="1:14">
      <c r="A80" s="8" t="s">
        <v>339</v>
      </c>
      <c r="B80" s="9">
        <v>14</v>
      </c>
      <c r="C80" s="9">
        <v>47</v>
      </c>
      <c r="D80" s="9" t="s">
        <v>283</v>
      </c>
      <c r="E80" s="9">
        <v>18</v>
      </c>
      <c r="F80" s="9" t="s">
        <v>340</v>
      </c>
      <c r="G80" s="10" t="s">
        <v>341</v>
      </c>
      <c r="H80" s="8" t="s">
        <v>38</v>
      </c>
      <c r="I80" s="12">
        <v>43000</v>
      </c>
      <c r="J80" s="13" t="s">
        <v>19</v>
      </c>
      <c r="K80" s="9" t="s">
        <v>125</v>
      </c>
      <c r="L80" s="9" t="s">
        <v>342</v>
      </c>
      <c r="M80" s="5" t="str">
        <f>_xlfn.XLOOKUP(N80,enums!$C:$C,enums!$B:$B,"")</f>
        <v>现代超级轿车</v>
      </c>
      <c r="N80" s="6" t="s">
        <v>64</v>
      </c>
    </row>
    <row r="81" ht="33" spans="1:14">
      <c r="A81" s="8" t="s">
        <v>343</v>
      </c>
      <c r="B81" s="9">
        <v>14</v>
      </c>
      <c r="C81" s="9">
        <v>47</v>
      </c>
      <c r="D81" s="9" t="s">
        <v>283</v>
      </c>
      <c r="E81" s="9">
        <v>19</v>
      </c>
      <c r="F81" s="9" t="s">
        <v>344</v>
      </c>
      <c r="G81" s="10" t="s">
        <v>341</v>
      </c>
      <c r="H81" s="8" t="s">
        <v>26</v>
      </c>
      <c r="I81" s="12">
        <v>63000</v>
      </c>
      <c r="J81" s="14" t="s">
        <v>39</v>
      </c>
      <c r="K81" s="9" t="s">
        <v>125</v>
      </c>
      <c r="L81" s="9" t="s">
        <v>345</v>
      </c>
      <c r="M81" s="5" t="str">
        <f>_xlfn.XLOOKUP(N81,enums!$C:$C,enums!$B:$B,"")</f>
        <v>现代跑车</v>
      </c>
      <c r="N81" s="6" t="s">
        <v>74</v>
      </c>
    </row>
    <row r="82" ht="33" spans="1:14">
      <c r="A82" s="8" t="s">
        <v>346</v>
      </c>
      <c r="B82" s="9">
        <v>14</v>
      </c>
      <c r="C82" s="9">
        <v>47</v>
      </c>
      <c r="D82" s="9" t="s">
        <v>283</v>
      </c>
      <c r="E82" s="9">
        <v>20</v>
      </c>
      <c r="F82" s="9" t="s">
        <v>347</v>
      </c>
      <c r="G82" s="10" t="s">
        <v>348</v>
      </c>
      <c r="H82" s="8" t="s">
        <v>26</v>
      </c>
      <c r="I82" s="12">
        <v>35000</v>
      </c>
      <c r="J82" s="13" t="s">
        <v>19</v>
      </c>
      <c r="K82" s="9" t="s">
        <v>125</v>
      </c>
      <c r="L82" s="9" t="s">
        <v>349</v>
      </c>
      <c r="M82" s="5" t="str">
        <f>_xlfn.XLOOKUP(N82,enums!$C:$C,enums!$B:$B,"")</f>
        <v>复古超级跑车</v>
      </c>
      <c r="N82" s="6" t="s">
        <v>84</v>
      </c>
    </row>
    <row r="83" ht="33" spans="1:14">
      <c r="A83" s="8" t="s">
        <v>350</v>
      </c>
      <c r="B83" s="9">
        <v>14</v>
      </c>
      <c r="C83" s="9">
        <v>47</v>
      </c>
      <c r="D83" s="9" t="s">
        <v>283</v>
      </c>
      <c r="E83" s="9">
        <v>21</v>
      </c>
      <c r="F83" s="9" t="s">
        <v>351</v>
      </c>
      <c r="G83" s="10" t="s">
        <v>242</v>
      </c>
      <c r="H83" s="8" t="s">
        <v>26</v>
      </c>
      <c r="I83" s="12">
        <v>47000</v>
      </c>
      <c r="J83" s="13" t="s">
        <v>19</v>
      </c>
      <c r="K83" s="9" t="s">
        <v>125</v>
      </c>
      <c r="L83" s="9" t="s">
        <v>352</v>
      </c>
      <c r="M83" s="5" t="str">
        <f>_xlfn.XLOOKUP(N83,enums!$C:$C,enums!$B:$B,"")</f>
        <v>复古超级跑车</v>
      </c>
      <c r="N83" s="6" t="s">
        <v>84</v>
      </c>
    </row>
    <row r="84" ht="33" spans="1:14">
      <c r="A84" s="8" t="s">
        <v>353</v>
      </c>
      <c r="B84" s="9">
        <v>14</v>
      </c>
      <c r="C84" s="9">
        <v>47</v>
      </c>
      <c r="D84" s="9" t="s">
        <v>283</v>
      </c>
      <c r="E84" s="9">
        <v>22</v>
      </c>
      <c r="F84" s="9" t="s">
        <v>354</v>
      </c>
      <c r="G84" s="10" t="s">
        <v>355</v>
      </c>
      <c r="H84" s="8" t="s">
        <v>26</v>
      </c>
      <c r="I84" s="12">
        <v>30000</v>
      </c>
      <c r="J84" s="13" t="s">
        <v>19</v>
      </c>
      <c r="K84" s="9" t="s">
        <v>125</v>
      </c>
      <c r="L84" s="9" t="s">
        <v>356</v>
      </c>
      <c r="M84" s="5" t="str">
        <f>_xlfn.XLOOKUP(N84,enums!$C:$C,enums!$B:$B,"")</f>
        <v>复古超级跑车</v>
      </c>
      <c r="N84" s="6" t="s">
        <v>84</v>
      </c>
    </row>
    <row r="85" ht="33" spans="1:14">
      <c r="A85" s="8" t="s">
        <v>357</v>
      </c>
      <c r="B85" s="9">
        <v>14</v>
      </c>
      <c r="C85" s="9">
        <v>47</v>
      </c>
      <c r="D85" s="9" t="s">
        <v>283</v>
      </c>
      <c r="E85" s="9">
        <v>23</v>
      </c>
      <c r="F85" s="9" t="s">
        <v>358</v>
      </c>
      <c r="G85" s="10" t="s">
        <v>359</v>
      </c>
      <c r="H85" s="8" t="s">
        <v>26</v>
      </c>
      <c r="I85" s="12">
        <v>48000</v>
      </c>
      <c r="J85" s="14" t="s">
        <v>39</v>
      </c>
      <c r="K85" s="9" t="s">
        <v>125</v>
      </c>
      <c r="L85" s="9" t="s">
        <v>360</v>
      </c>
      <c r="M85" s="5" t="str">
        <f>_xlfn.XLOOKUP(N85,enums!$C:$C,enums!$B:$B,"")</f>
        <v>复古超级跑车</v>
      </c>
      <c r="N85" s="6" t="s">
        <v>84</v>
      </c>
    </row>
    <row r="86" ht="33" spans="1:14">
      <c r="A86" s="8" t="s">
        <v>361</v>
      </c>
      <c r="B86" s="9">
        <v>14</v>
      </c>
      <c r="C86" s="9">
        <v>47</v>
      </c>
      <c r="D86" s="9" t="s">
        <v>283</v>
      </c>
      <c r="E86" s="9">
        <v>24</v>
      </c>
      <c r="F86" s="9" t="s">
        <v>362</v>
      </c>
      <c r="G86" s="10" t="s">
        <v>359</v>
      </c>
      <c r="H86" s="8" t="s">
        <v>26</v>
      </c>
      <c r="I86" s="12">
        <v>135000</v>
      </c>
      <c r="J86" s="14" t="s">
        <v>39</v>
      </c>
      <c r="K86" s="9" t="s">
        <v>125</v>
      </c>
      <c r="L86" s="9" t="s">
        <v>363</v>
      </c>
      <c r="M86" s="5" t="str">
        <f>_xlfn.XLOOKUP(N86,enums!$C:$C,enums!$B:$B,"")</f>
        <v>复古跑车</v>
      </c>
      <c r="N86" s="6" t="s">
        <v>364</v>
      </c>
    </row>
    <row r="87" ht="33" spans="1:14">
      <c r="A87" s="8" t="s">
        <v>365</v>
      </c>
      <c r="B87" s="9">
        <v>14</v>
      </c>
      <c r="C87" s="9">
        <v>47</v>
      </c>
      <c r="D87" s="9" t="s">
        <v>283</v>
      </c>
      <c r="E87" s="9">
        <v>25</v>
      </c>
      <c r="F87" s="9" t="s">
        <v>366</v>
      </c>
      <c r="G87" s="10" t="s">
        <v>367</v>
      </c>
      <c r="H87" s="8" t="s">
        <v>26</v>
      </c>
      <c r="I87" s="12">
        <v>250000</v>
      </c>
      <c r="J87" s="14" t="s">
        <v>39</v>
      </c>
      <c r="K87" s="9" t="s">
        <v>125</v>
      </c>
      <c r="L87" s="9" t="s">
        <v>368</v>
      </c>
      <c r="M87" s="5" t="str">
        <f>_xlfn.XLOOKUP(N87,enums!$C:$C,enums!$B:$B,"")</f>
        <v>复古超级跑车</v>
      </c>
      <c r="N87" s="6" t="s">
        <v>84</v>
      </c>
    </row>
    <row r="88" ht="33" spans="1:14">
      <c r="A88" s="8" t="s">
        <v>369</v>
      </c>
      <c r="B88" s="9">
        <v>14</v>
      </c>
      <c r="C88" s="9">
        <v>47</v>
      </c>
      <c r="D88" s="9" t="s">
        <v>283</v>
      </c>
      <c r="E88" s="9">
        <v>26</v>
      </c>
      <c r="F88" s="9" t="s">
        <v>370</v>
      </c>
      <c r="G88" s="10" t="s">
        <v>367</v>
      </c>
      <c r="H88" s="8" t="s">
        <v>26</v>
      </c>
      <c r="I88" s="12">
        <v>70000</v>
      </c>
      <c r="J88" s="14" t="s">
        <v>39</v>
      </c>
      <c r="K88" s="9" t="s">
        <v>125</v>
      </c>
      <c r="L88" s="9" t="s">
        <v>371</v>
      </c>
      <c r="M88" s="5" t="str">
        <f>_xlfn.XLOOKUP(N88,enums!$C:$C,enums!$B:$B,"")</f>
        <v>复古超级跑车</v>
      </c>
      <c r="N88" s="6" t="s">
        <v>84</v>
      </c>
    </row>
    <row r="89" ht="33" spans="1:14">
      <c r="A89" s="8" t="s">
        <v>372</v>
      </c>
      <c r="B89" s="9">
        <v>14</v>
      </c>
      <c r="C89" s="9">
        <v>47</v>
      </c>
      <c r="D89" s="9" t="s">
        <v>283</v>
      </c>
      <c r="E89" s="9">
        <v>27</v>
      </c>
      <c r="F89" s="9" t="s">
        <v>373</v>
      </c>
      <c r="G89" s="10" t="s">
        <v>374</v>
      </c>
      <c r="H89" s="8" t="s">
        <v>375</v>
      </c>
      <c r="I89" s="12">
        <v>600000</v>
      </c>
      <c r="J89" s="9" t="s">
        <v>376</v>
      </c>
      <c r="K89" s="9" t="s">
        <v>125</v>
      </c>
      <c r="L89" s="9" t="s">
        <v>377</v>
      </c>
      <c r="M89" s="5" t="str">
        <f>_xlfn.XLOOKUP(N89,enums!$C:$C,enums!$B:$B,"")</f>
        <v>复古超级轿车</v>
      </c>
      <c r="N89" s="6" t="s">
        <v>378</v>
      </c>
    </row>
    <row r="90" ht="33" spans="1:14">
      <c r="A90" s="8" t="s">
        <v>379</v>
      </c>
      <c r="B90" s="9">
        <v>14</v>
      </c>
      <c r="C90" s="9">
        <v>47</v>
      </c>
      <c r="D90" s="9" t="s">
        <v>283</v>
      </c>
      <c r="E90" s="9">
        <v>28</v>
      </c>
      <c r="F90" s="9" t="s">
        <v>380</v>
      </c>
      <c r="G90" s="10" t="s">
        <v>381</v>
      </c>
      <c r="H90" s="8" t="s">
        <v>26</v>
      </c>
      <c r="I90" s="12">
        <v>127000</v>
      </c>
      <c r="J90" s="16" t="s">
        <v>91</v>
      </c>
      <c r="K90" s="9" t="s">
        <v>125</v>
      </c>
      <c r="L90" s="9" t="s">
        <v>382</v>
      </c>
      <c r="M90" s="5" t="str">
        <f>_xlfn.XLOOKUP(N90,enums!$C:$C,enums!$B:$B,"")</f>
        <v>经典跑车</v>
      </c>
      <c r="N90" s="6" t="s">
        <v>261</v>
      </c>
    </row>
    <row r="91" ht="33" spans="1:14">
      <c r="A91" s="8" t="s">
        <v>383</v>
      </c>
      <c r="B91" s="9">
        <v>14</v>
      </c>
      <c r="C91" s="9">
        <v>47</v>
      </c>
      <c r="D91" s="9" t="s">
        <v>283</v>
      </c>
      <c r="E91" s="9">
        <v>29</v>
      </c>
      <c r="F91" s="9" t="s">
        <v>384</v>
      </c>
      <c r="G91" s="10" t="s">
        <v>385</v>
      </c>
      <c r="H91" s="8" t="s">
        <v>26</v>
      </c>
      <c r="I91" s="12">
        <v>84000</v>
      </c>
      <c r="J91" s="13" t="s">
        <v>19</v>
      </c>
      <c r="K91" s="9" t="s">
        <v>125</v>
      </c>
      <c r="L91" s="9" t="s">
        <v>32</v>
      </c>
      <c r="M91" s="5" t="str">
        <f>_xlfn.XLOOKUP(N91,enums!$C:$C,enums!$B:$B,"")</f>
        <v>狂热跑车</v>
      </c>
      <c r="N91" s="6" t="s">
        <v>33</v>
      </c>
    </row>
    <row r="92" ht="33" spans="1:14">
      <c r="A92" s="8" t="s">
        <v>386</v>
      </c>
      <c r="B92" s="9">
        <v>15</v>
      </c>
      <c r="C92" s="9">
        <v>52</v>
      </c>
      <c r="D92" s="9" t="s">
        <v>387</v>
      </c>
      <c r="E92" s="9">
        <v>1</v>
      </c>
      <c r="F92" s="9" t="s">
        <v>388</v>
      </c>
      <c r="G92" s="10" t="s">
        <v>389</v>
      </c>
      <c r="H92" s="8" t="s">
        <v>72</v>
      </c>
      <c r="I92" s="12">
        <v>255000</v>
      </c>
      <c r="J92" s="15" t="s">
        <v>46</v>
      </c>
      <c r="K92" s="9" t="s">
        <v>40</v>
      </c>
      <c r="L92" s="9" t="s">
        <v>390</v>
      </c>
      <c r="M92" s="5" t="str">
        <f>_xlfn.XLOOKUP(N92,enums!$C:$C,enums!$B:$B,"")</f>
        <v>复古肌肉车</v>
      </c>
      <c r="N92" s="6" t="s">
        <v>391</v>
      </c>
    </row>
    <row r="93" ht="33" spans="1:14">
      <c r="A93" s="8" t="s">
        <v>392</v>
      </c>
      <c r="B93" s="9">
        <v>16</v>
      </c>
      <c r="C93" s="9">
        <v>61</v>
      </c>
      <c r="D93" s="9" t="s">
        <v>393</v>
      </c>
      <c r="E93" s="9">
        <v>1</v>
      </c>
      <c r="F93" s="9" t="s">
        <v>394</v>
      </c>
      <c r="G93" s="10" t="s">
        <v>44</v>
      </c>
      <c r="H93" s="8" t="s">
        <v>26</v>
      </c>
      <c r="I93" s="12">
        <v>90000</v>
      </c>
      <c r="J93" s="14" t="s">
        <v>39</v>
      </c>
      <c r="K93" s="9" t="s">
        <v>40</v>
      </c>
      <c r="L93" s="9" t="s">
        <v>395</v>
      </c>
      <c r="M93" s="5" t="str">
        <f>_xlfn.XLOOKUP(N93,enums!$C:$C,enums!$B:$B,"")</f>
        <v>现代肌肉车</v>
      </c>
      <c r="N93" s="6" t="s">
        <v>396</v>
      </c>
    </row>
    <row r="94" ht="33" spans="1:14">
      <c r="A94" s="8" t="s">
        <v>397</v>
      </c>
      <c r="B94" s="9">
        <v>16</v>
      </c>
      <c r="C94" s="9">
        <v>61</v>
      </c>
      <c r="D94" s="9" t="s">
        <v>393</v>
      </c>
      <c r="E94" s="9">
        <v>2</v>
      </c>
      <c r="F94" s="9" t="s">
        <v>398</v>
      </c>
      <c r="G94" s="10" t="s">
        <v>44</v>
      </c>
      <c r="H94" s="8" t="s">
        <v>26</v>
      </c>
      <c r="I94" s="12">
        <v>55000</v>
      </c>
      <c r="J94" s="14" t="s">
        <v>39</v>
      </c>
      <c r="K94" s="9" t="s">
        <v>40</v>
      </c>
      <c r="L94" s="9" t="s">
        <v>188</v>
      </c>
      <c r="M94" s="5" t="str">
        <f>_xlfn.XLOOKUP(N94,enums!$C:$C,enums!$B:$B,"")</f>
        <v>现代肌肉车</v>
      </c>
      <c r="N94" s="6" t="s">
        <v>396</v>
      </c>
    </row>
    <row r="95" ht="33" spans="1:14">
      <c r="A95" s="8" t="s">
        <v>399</v>
      </c>
      <c r="B95" s="9">
        <v>16</v>
      </c>
      <c r="C95" s="9">
        <v>61</v>
      </c>
      <c r="D95" s="9" t="s">
        <v>393</v>
      </c>
      <c r="E95" s="9">
        <v>3</v>
      </c>
      <c r="F95" s="9" t="s">
        <v>400</v>
      </c>
      <c r="G95" s="10" t="s">
        <v>17</v>
      </c>
      <c r="H95" s="8" t="s">
        <v>26</v>
      </c>
      <c r="I95" s="12">
        <v>60000</v>
      </c>
      <c r="J95" s="13" t="s">
        <v>19</v>
      </c>
      <c r="K95" s="9" t="s">
        <v>40</v>
      </c>
      <c r="L95" s="9" t="s">
        <v>401</v>
      </c>
      <c r="M95" s="5" t="str">
        <f>_xlfn.XLOOKUP(N95,enums!$C:$C,enums!$B:$B,"")</f>
        <v>现代肌肉车</v>
      </c>
      <c r="N95" s="6" t="s">
        <v>396</v>
      </c>
    </row>
    <row r="96" ht="33" spans="1:14">
      <c r="A96" s="8" t="s">
        <v>402</v>
      </c>
      <c r="B96" s="9">
        <v>16</v>
      </c>
      <c r="C96" s="9">
        <v>61</v>
      </c>
      <c r="D96" s="9" t="s">
        <v>393</v>
      </c>
      <c r="E96" s="9">
        <v>4</v>
      </c>
      <c r="F96" s="9" t="s">
        <v>403</v>
      </c>
      <c r="G96" s="10" t="s">
        <v>17</v>
      </c>
      <c r="H96" s="8" t="s">
        <v>26</v>
      </c>
      <c r="I96" s="12">
        <v>41000</v>
      </c>
      <c r="J96" s="13" t="s">
        <v>19</v>
      </c>
      <c r="K96" s="9" t="s">
        <v>40</v>
      </c>
      <c r="L96" s="9" t="s">
        <v>133</v>
      </c>
      <c r="M96" s="5" t="str">
        <f>_xlfn.XLOOKUP(N96,enums!$C:$C,enums!$B:$B,"")</f>
        <v>现代肌肉车</v>
      </c>
      <c r="N96" s="6" t="s">
        <v>396</v>
      </c>
    </row>
    <row r="97" ht="33" spans="1:14">
      <c r="A97" s="8" t="s">
        <v>404</v>
      </c>
      <c r="B97" s="9">
        <v>16</v>
      </c>
      <c r="C97" s="9">
        <v>61</v>
      </c>
      <c r="D97" s="9" t="s">
        <v>393</v>
      </c>
      <c r="E97" s="9">
        <v>5</v>
      </c>
      <c r="F97" s="9" t="s">
        <v>405</v>
      </c>
      <c r="G97" s="10" t="s">
        <v>136</v>
      </c>
      <c r="H97" s="8" t="s">
        <v>26</v>
      </c>
      <c r="I97" s="12">
        <v>44000</v>
      </c>
      <c r="J97" s="14" t="s">
        <v>39</v>
      </c>
      <c r="K97" s="9" t="s">
        <v>40</v>
      </c>
      <c r="L97" s="9" t="s">
        <v>406</v>
      </c>
      <c r="M97" s="5" t="str">
        <f>_xlfn.XLOOKUP(N97,enums!$C:$C,enums!$B:$B,"")</f>
        <v>现代超级轿车</v>
      </c>
      <c r="N97" s="6" t="s">
        <v>64</v>
      </c>
    </row>
    <row r="98" spans="1:14">
      <c r="A98" s="8" t="s">
        <v>407</v>
      </c>
      <c r="B98" s="9">
        <v>17</v>
      </c>
      <c r="C98" s="9">
        <v>9</v>
      </c>
      <c r="D98" s="9" t="s">
        <v>408</v>
      </c>
      <c r="E98" s="9">
        <v>1</v>
      </c>
      <c r="F98" s="9" t="s">
        <v>409</v>
      </c>
      <c r="G98" s="10" t="s">
        <v>198</v>
      </c>
      <c r="H98" s="8" t="s">
        <v>26</v>
      </c>
      <c r="I98" s="12">
        <v>16000</v>
      </c>
      <c r="J98" s="13" t="s">
        <v>19</v>
      </c>
      <c r="K98" s="9" t="s">
        <v>410</v>
      </c>
      <c r="L98" s="9" t="s">
        <v>411</v>
      </c>
      <c r="M98" s="5" t="str">
        <f>_xlfn.XLOOKUP(N98,enums!$C:$C,enums!$B:$B,"")</f>
        <v>多功能车</v>
      </c>
      <c r="N98" s="6" t="s">
        <v>412</v>
      </c>
    </row>
    <row r="99" ht="33" spans="1:14">
      <c r="A99" s="8" t="s">
        <v>413</v>
      </c>
      <c r="B99" s="9">
        <v>18</v>
      </c>
      <c r="C99" s="9">
        <v>10</v>
      </c>
      <c r="D99" s="9" t="s">
        <v>414</v>
      </c>
      <c r="E99" s="9">
        <v>1</v>
      </c>
      <c r="F99" s="9" t="s">
        <v>415</v>
      </c>
      <c r="G99" s="10" t="s">
        <v>123</v>
      </c>
      <c r="H99" s="8" t="s">
        <v>124</v>
      </c>
      <c r="I99" s="12">
        <v>250000</v>
      </c>
      <c r="J99" s="15" t="s">
        <v>46</v>
      </c>
      <c r="K99" s="9" t="s">
        <v>40</v>
      </c>
      <c r="L99" s="9" t="s">
        <v>416</v>
      </c>
      <c r="M99" s="5" t="str">
        <f>_xlfn.XLOOKUP(N99,enums!$C:$C,enums!$B:$B,"")</f>
        <v>无限制越野车</v>
      </c>
      <c r="N99" s="6" t="s">
        <v>107</v>
      </c>
    </row>
    <row r="100" ht="33" spans="1:14">
      <c r="A100" s="8" t="s">
        <v>417</v>
      </c>
      <c r="B100" s="9">
        <v>19</v>
      </c>
      <c r="C100" s="9">
        <v>87</v>
      </c>
      <c r="D100" s="9" t="s">
        <v>418</v>
      </c>
      <c r="E100" s="9">
        <v>1</v>
      </c>
      <c r="F100" s="9" t="s">
        <v>419</v>
      </c>
      <c r="G100" s="10" t="s">
        <v>285</v>
      </c>
      <c r="H100" s="8" t="s">
        <v>169</v>
      </c>
      <c r="I100" s="12">
        <v>114000</v>
      </c>
      <c r="J100" s="15" t="s">
        <v>46</v>
      </c>
      <c r="K100" s="9" t="s">
        <v>40</v>
      </c>
      <c r="L100" s="9" t="s">
        <v>420</v>
      </c>
      <c r="M100" s="5" t="str">
        <f>_xlfn.XLOOKUP(N100,enums!$C:$C,enums!$B:$B,"")</f>
        <v>现代超级跑车</v>
      </c>
      <c r="N100" s="6" t="s">
        <v>48</v>
      </c>
    </row>
    <row r="101" ht="33" spans="1:14">
      <c r="A101" s="8" t="s">
        <v>421</v>
      </c>
      <c r="B101" s="9">
        <v>19</v>
      </c>
      <c r="C101" s="9">
        <v>87</v>
      </c>
      <c r="D101" s="9" t="s">
        <v>418</v>
      </c>
      <c r="E101" s="9">
        <v>2</v>
      </c>
      <c r="F101" s="9" t="s">
        <v>422</v>
      </c>
      <c r="G101" s="10" t="s">
        <v>37</v>
      </c>
      <c r="H101" s="8" t="s">
        <v>26</v>
      </c>
      <c r="I101" s="12">
        <v>155000</v>
      </c>
      <c r="J101" s="15" t="s">
        <v>46</v>
      </c>
      <c r="K101" s="9" t="s">
        <v>40</v>
      </c>
      <c r="L101" s="9" t="s">
        <v>423</v>
      </c>
      <c r="M101" s="5" t="str">
        <f>_xlfn.XLOOKUP(N101,enums!$C:$C,enums!$B:$B,"")</f>
        <v>赛道玩具</v>
      </c>
      <c r="N101" s="6" t="s">
        <v>273</v>
      </c>
    </row>
    <row r="102" ht="33" spans="1:14">
      <c r="A102" s="8" t="s">
        <v>424</v>
      </c>
      <c r="B102" s="9">
        <v>19</v>
      </c>
      <c r="C102" s="9">
        <v>87</v>
      </c>
      <c r="D102" s="9" t="s">
        <v>418</v>
      </c>
      <c r="E102" s="9">
        <v>3</v>
      </c>
      <c r="F102" s="9" t="s">
        <v>425</v>
      </c>
      <c r="G102" s="10" t="s">
        <v>191</v>
      </c>
      <c r="H102" s="8" t="s">
        <v>26</v>
      </c>
      <c r="I102" s="12">
        <v>65000</v>
      </c>
      <c r="J102" s="14" t="s">
        <v>39</v>
      </c>
      <c r="K102" s="9" t="s">
        <v>40</v>
      </c>
      <c r="L102" s="9" t="s">
        <v>426</v>
      </c>
      <c r="M102" s="5" t="str">
        <f>_xlfn.XLOOKUP(N102,enums!$C:$C,enums!$B:$B,"")</f>
        <v>现代超级跑车</v>
      </c>
      <c r="N102" s="6" t="s">
        <v>48</v>
      </c>
    </row>
    <row r="103" ht="33" spans="1:14">
      <c r="A103" s="8" t="s">
        <v>427</v>
      </c>
      <c r="B103" s="9">
        <v>19</v>
      </c>
      <c r="C103" s="9">
        <v>87</v>
      </c>
      <c r="D103" s="9" t="s">
        <v>418</v>
      </c>
      <c r="E103" s="9">
        <v>4</v>
      </c>
      <c r="F103" s="9" t="s">
        <v>428</v>
      </c>
      <c r="G103" s="10" t="s">
        <v>191</v>
      </c>
      <c r="H103" s="8" t="s">
        <v>26</v>
      </c>
      <c r="I103" s="12">
        <v>43000</v>
      </c>
      <c r="J103" s="14" t="s">
        <v>39</v>
      </c>
      <c r="K103" s="9" t="s">
        <v>40</v>
      </c>
      <c r="L103" s="9" t="s">
        <v>429</v>
      </c>
      <c r="M103" s="5" t="str">
        <f>_xlfn.XLOOKUP(N103,enums!$C:$C,enums!$B:$B,"")</f>
        <v>皮卡和四轮驱动车</v>
      </c>
      <c r="N103" s="6" t="s">
        <v>430</v>
      </c>
    </row>
    <row r="104" ht="33" spans="1:14">
      <c r="A104" s="8" t="s">
        <v>431</v>
      </c>
      <c r="B104" s="9">
        <v>19</v>
      </c>
      <c r="C104" s="9">
        <v>87</v>
      </c>
      <c r="D104" s="9" t="s">
        <v>418</v>
      </c>
      <c r="E104" s="9">
        <v>5</v>
      </c>
      <c r="F104" s="9" t="s">
        <v>432</v>
      </c>
      <c r="G104" s="10" t="s">
        <v>123</v>
      </c>
      <c r="H104" s="8" t="s">
        <v>124</v>
      </c>
      <c r="I104" s="12">
        <v>250000</v>
      </c>
      <c r="J104" s="15" t="s">
        <v>46</v>
      </c>
      <c r="K104" s="9" t="s">
        <v>40</v>
      </c>
      <c r="L104" s="9" t="s">
        <v>433</v>
      </c>
      <c r="M104" s="5" t="str">
        <f>_xlfn.XLOOKUP(N104,enums!$C:$C,enums!$B:$B,"")</f>
        <v>赛道玩具</v>
      </c>
      <c r="N104" s="6" t="s">
        <v>273</v>
      </c>
    </row>
    <row r="105" ht="33" spans="1:14">
      <c r="A105" s="8" t="s">
        <v>434</v>
      </c>
      <c r="B105" s="9">
        <v>19</v>
      </c>
      <c r="C105" s="9">
        <v>87</v>
      </c>
      <c r="D105" s="9" t="s">
        <v>418</v>
      </c>
      <c r="E105" s="9">
        <v>6</v>
      </c>
      <c r="F105" s="9" t="s">
        <v>435</v>
      </c>
      <c r="G105" s="10" t="s">
        <v>198</v>
      </c>
      <c r="H105" s="8" t="s">
        <v>26</v>
      </c>
      <c r="I105" s="12">
        <v>70000</v>
      </c>
      <c r="J105" s="14" t="s">
        <v>39</v>
      </c>
      <c r="K105" s="9" t="s">
        <v>40</v>
      </c>
      <c r="L105" s="9" t="s">
        <v>436</v>
      </c>
      <c r="M105" s="5" t="str">
        <f>_xlfn.XLOOKUP(N105,enums!$C:$C,enums!$B:$B,"")</f>
        <v>赛道玩具</v>
      </c>
      <c r="N105" s="6" t="s">
        <v>273</v>
      </c>
    </row>
    <row r="106" ht="33" spans="1:14">
      <c r="A106" s="8" t="s">
        <v>437</v>
      </c>
      <c r="B106" s="9">
        <v>19</v>
      </c>
      <c r="C106" s="9">
        <v>87</v>
      </c>
      <c r="D106" s="9" t="s">
        <v>418</v>
      </c>
      <c r="E106" s="9">
        <v>7</v>
      </c>
      <c r="F106" s="9" t="s">
        <v>438</v>
      </c>
      <c r="G106" s="10" t="s">
        <v>67</v>
      </c>
      <c r="H106" s="8" t="s">
        <v>26</v>
      </c>
      <c r="I106" s="12">
        <v>55000</v>
      </c>
      <c r="J106" s="14" t="s">
        <v>39</v>
      </c>
      <c r="K106" s="9" t="s">
        <v>40</v>
      </c>
      <c r="L106" s="9" t="s">
        <v>439</v>
      </c>
      <c r="M106" s="5" t="str">
        <f>_xlfn.XLOOKUP(N106,enums!$C:$C,enums!$B:$B,"")</f>
        <v>现代肌肉车</v>
      </c>
      <c r="N106" s="6" t="s">
        <v>396</v>
      </c>
    </row>
    <row r="107" ht="33" spans="1:14">
      <c r="A107" s="8" t="s">
        <v>440</v>
      </c>
      <c r="B107" s="9">
        <v>19</v>
      </c>
      <c r="C107" s="9">
        <v>87</v>
      </c>
      <c r="D107" s="9" t="s">
        <v>418</v>
      </c>
      <c r="E107" s="9">
        <v>8</v>
      </c>
      <c r="F107" s="9" t="s">
        <v>441</v>
      </c>
      <c r="G107" s="10" t="s">
        <v>114</v>
      </c>
      <c r="H107" s="8" t="s">
        <v>26</v>
      </c>
      <c r="I107" s="12">
        <v>100000</v>
      </c>
      <c r="J107" s="14" t="s">
        <v>39</v>
      </c>
      <c r="K107" s="9" t="s">
        <v>40</v>
      </c>
      <c r="L107" s="9" t="s">
        <v>442</v>
      </c>
      <c r="M107" s="5" t="str">
        <f>_xlfn.XLOOKUP(N107,enums!$C:$C,enums!$B:$B,"")</f>
        <v>现代肌肉车</v>
      </c>
      <c r="N107" s="6" t="s">
        <v>396</v>
      </c>
    </row>
    <row r="108" ht="33" spans="1:14">
      <c r="A108" s="8" t="s">
        <v>443</v>
      </c>
      <c r="B108" s="9">
        <v>19</v>
      </c>
      <c r="C108" s="9">
        <v>87</v>
      </c>
      <c r="D108" s="9" t="s">
        <v>418</v>
      </c>
      <c r="E108" s="9">
        <v>9</v>
      </c>
      <c r="F108" s="9" t="s">
        <v>444</v>
      </c>
      <c r="G108" s="10" t="s">
        <v>114</v>
      </c>
      <c r="H108" s="8" t="s">
        <v>26</v>
      </c>
      <c r="I108" s="12">
        <v>65000</v>
      </c>
      <c r="J108" s="14" t="s">
        <v>39</v>
      </c>
      <c r="K108" s="9" t="s">
        <v>40</v>
      </c>
      <c r="L108" s="9" t="s">
        <v>445</v>
      </c>
      <c r="M108" s="5" t="str">
        <f>_xlfn.XLOOKUP(N108,enums!$C:$C,enums!$B:$B,"")</f>
        <v>赛道玩具</v>
      </c>
      <c r="N108" s="6" t="s">
        <v>273</v>
      </c>
    </row>
    <row r="109" ht="33" spans="1:14">
      <c r="A109" s="8" t="s">
        <v>446</v>
      </c>
      <c r="B109" s="9">
        <v>19</v>
      </c>
      <c r="C109" s="9">
        <v>87</v>
      </c>
      <c r="D109" s="9" t="s">
        <v>418</v>
      </c>
      <c r="E109" s="9">
        <v>10</v>
      </c>
      <c r="F109" s="9" t="s">
        <v>447</v>
      </c>
      <c r="G109" s="10" t="s">
        <v>232</v>
      </c>
      <c r="H109" s="8" t="s">
        <v>26</v>
      </c>
      <c r="I109" s="12">
        <v>125000</v>
      </c>
      <c r="J109" s="14" t="s">
        <v>39</v>
      </c>
      <c r="K109" s="9" t="s">
        <v>40</v>
      </c>
      <c r="L109" s="9" t="s">
        <v>448</v>
      </c>
      <c r="M109" s="5" t="str">
        <f>_xlfn.XLOOKUP(N109,enums!$C:$C,enums!$B:$B,"")</f>
        <v>现代肌肉车</v>
      </c>
      <c r="N109" s="6" t="s">
        <v>396</v>
      </c>
    </row>
    <row r="110" ht="33" spans="1:14">
      <c r="A110" s="8" t="s">
        <v>449</v>
      </c>
      <c r="B110" s="9">
        <v>19</v>
      </c>
      <c r="C110" s="9">
        <v>87</v>
      </c>
      <c r="D110" s="9" t="s">
        <v>418</v>
      </c>
      <c r="E110" s="9">
        <v>11</v>
      </c>
      <c r="F110" s="9" t="s">
        <v>450</v>
      </c>
      <c r="G110" s="10" t="s">
        <v>51</v>
      </c>
      <c r="H110" s="8" t="s">
        <v>26</v>
      </c>
      <c r="I110" s="12">
        <v>33000</v>
      </c>
      <c r="J110" s="13" t="s">
        <v>19</v>
      </c>
      <c r="K110" s="9" t="s">
        <v>40</v>
      </c>
      <c r="L110" s="9" t="s">
        <v>451</v>
      </c>
      <c r="M110" s="5" t="str">
        <f>_xlfn.XLOOKUP(N110,enums!$C:$C,enums!$B:$B,"")</f>
        <v>复古肌肉车</v>
      </c>
      <c r="N110" s="6" t="s">
        <v>391</v>
      </c>
    </row>
    <row r="111" ht="33" spans="1:14">
      <c r="A111" s="8" t="s">
        <v>452</v>
      </c>
      <c r="B111" s="9">
        <v>19</v>
      </c>
      <c r="C111" s="9">
        <v>87</v>
      </c>
      <c r="D111" s="9" t="s">
        <v>418</v>
      </c>
      <c r="E111" s="9">
        <v>12</v>
      </c>
      <c r="F111" s="9" t="s">
        <v>453</v>
      </c>
      <c r="G111" s="10" t="s">
        <v>454</v>
      </c>
      <c r="H111" s="8" t="s">
        <v>26</v>
      </c>
      <c r="I111" s="12">
        <v>30000</v>
      </c>
      <c r="J111" s="13" t="s">
        <v>19</v>
      </c>
      <c r="K111" s="9" t="s">
        <v>40</v>
      </c>
      <c r="L111" s="9" t="s">
        <v>455</v>
      </c>
      <c r="M111" s="5" t="str">
        <f>_xlfn.XLOOKUP(N111,enums!$C:$C,enums!$B:$B,"")</f>
        <v>复古肌肉车</v>
      </c>
      <c r="N111" s="6" t="s">
        <v>391</v>
      </c>
    </row>
    <row r="112" ht="33" spans="1:14">
      <c r="A112" s="8" t="s">
        <v>456</v>
      </c>
      <c r="B112" s="9">
        <v>19</v>
      </c>
      <c r="C112" s="9">
        <v>87</v>
      </c>
      <c r="D112" s="9" t="s">
        <v>418</v>
      </c>
      <c r="E112" s="9">
        <v>13</v>
      </c>
      <c r="F112" s="9" t="s">
        <v>457</v>
      </c>
      <c r="G112" s="10" t="s">
        <v>359</v>
      </c>
      <c r="H112" s="8" t="s">
        <v>26</v>
      </c>
      <c r="I112" s="12">
        <v>76000</v>
      </c>
      <c r="J112" s="13" t="s">
        <v>19</v>
      </c>
      <c r="K112" s="9" t="s">
        <v>40</v>
      </c>
      <c r="L112" s="9" t="s">
        <v>458</v>
      </c>
      <c r="M112" s="5" t="str">
        <f>_xlfn.XLOOKUP(N112,enums!$C:$C,enums!$B:$B,"")</f>
        <v>复古肌肉车</v>
      </c>
      <c r="N112" s="6" t="s">
        <v>391</v>
      </c>
    </row>
    <row r="113" ht="33" spans="1:14">
      <c r="A113" s="8" t="s">
        <v>459</v>
      </c>
      <c r="B113" s="9">
        <v>19</v>
      </c>
      <c r="C113" s="9">
        <v>87</v>
      </c>
      <c r="D113" s="9" t="s">
        <v>418</v>
      </c>
      <c r="E113" s="9">
        <v>14</v>
      </c>
      <c r="F113" s="9" t="s">
        <v>460</v>
      </c>
      <c r="G113" s="10" t="s">
        <v>367</v>
      </c>
      <c r="H113" s="8" t="s">
        <v>26</v>
      </c>
      <c r="I113" s="12">
        <v>30000</v>
      </c>
      <c r="J113" s="13" t="s">
        <v>19</v>
      </c>
      <c r="K113" s="9" t="s">
        <v>40</v>
      </c>
      <c r="L113" s="9" t="s">
        <v>461</v>
      </c>
      <c r="M113" s="5" t="str">
        <f>_xlfn.XLOOKUP(N113,enums!$C:$C,enums!$B:$B,"")</f>
        <v>复古肌肉车</v>
      </c>
      <c r="N113" s="6" t="s">
        <v>391</v>
      </c>
    </row>
    <row r="114" ht="33" spans="1:14">
      <c r="A114" s="8" t="s">
        <v>462</v>
      </c>
      <c r="B114" s="9">
        <v>19</v>
      </c>
      <c r="C114" s="9">
        <v>87</v>
      </c>
      <c r="D114" s="9" t="s">
        <v>418</v>
      </c>
      <c r="E114" s="9">
        <v>15</v>
      </c>
      <c r="F114" s="9" t="s">
        <v>463</v>
      </c>
      <c r="G114" s="10" t="s">
        <v>464</v>
      </c>
      <c r="H114" s="8" t="s">
        <v>26</v>
      </c>
      <c r="I114" s="12">
        <v>20000</v>
      </c>
      <c r="J114" s="14" t="s">
        <v>39</v>
      </c>
      <c r="K114" s="9" t="s">
        <v>40</v>
      </c>
      <c r="L114" s="9" t="s">
        <v>465</v>
      </c>
      <c r="M114" s="5" t="str">
        <f>_xlfn.XLOOKUP(N114,enums!$C:$C,enums!$B:$B,"")</f>
        <v>经典肌肉车</v>
      </c>
      <c r="N114" s="6" t="s">
        <v>466</v>
      </c>
    </row>
    <row r="115" ht="33" spans="1:14">
      <c r="A115" s="8" t="s">
        <v>467</v>
      </c>
      <c r="B115" s="9">
        <v>19</v>
      </c>
      <c r="C115" s="9">
        <v>87</v>
      </c>
      <c r="D115" s="9" t="s">
        <v>418</v>
      </c>
      <c r="E115" s="9">
        <v>16</v>
      </c>
      <c r="F115" s="9" t="s">
        <v>468</v>
      </c>
      <c r="G115" s="10" t="s">
        <v>469</v>
      </c>
      <c r="H115" s="8" t="s">
        <v>26</v>
      </c>
      <c r="I115" s="12">
        <v>49000</v>
      </c>
      <c r="J115" s="13" t="s">
        <v>19</v>
      </c>
      <c r="K115" s="9" t="s">
        <v>40</v>
      </c>
      <c r="L115" s="9" t="s">
        <v>470</v>
      </c>
      <c r="M115" s="5" t="str">
        <f>_xlfn.XLOOKUP(N115,enums!$C:$C,enums!$B:$B,"")</f>
        <v>皮卡和四轮驱动车</v>
      </c>
      <c r="N115" s="6" t="s">
        <v>430</v>
      </c>
    </row>
    <row r="116" ht="33" spans="1:14">
      <c r="A116" s="8" t="s">
        <v>471</v>
      </c>
      <c r="B116" s="9">
        <v>19</v>
      </c>
      <c r="C116" s="9">
        <v>87</v>
      </c>
      <c r="D116" s="9" t="s">
        <v>418</v>
      </c>
      <c r="E116" s="9">
        <v>17</v>
      </c>
      <c r="F116" s="9" t="s">
        <v>472</v>
      </c>
      <c r="G116" s="10" t="s">
        <v>473</v>
      </c>
      <c r="H116" s="8" t="s">
        <v>26</v>
      </c>
      <c r="I116" s="12">
        <v>250000</v>
      </c>
      <c r="J116" s="15" t="s">
        <v>46</v>
      </c>
      <c r="K116" s="9" t="s">
        <v>40</v>
      </c>
      <c r="L116" s="9" t="s">
        <v>474</v>
      </c>
      <c r="M116" s="5" t="str">
        <f>_xlfn.XLOOKUP(N116,enums!$C:$C,enums!$B:$B,"")</f>
        <v>经典肌肉车</v>
      </c>
      <c r="N116" s="6" t="s">
        <v>466</v>
      </c>
    </row>
    <row r="117" ht="33" spans="1:14">
      <c r="A117" s="8" t="s">
        <v>475</v>
      </c>
      <c r="B117" s="9">
        <v>19</v>
      </c>
      <c r="C117" s="9">
        <v>87</v>
      </c>
      <c r="D117" s="9" t="s">
        <v>418</v>
      </c>
      <c r="E117" s="9">
        <v>18</v>
      </c>
      <c r="F117" s="9" t="s">
        <v>476</v>
      </c>
      <c r="G117" s="10" t="s">
        <v>473</v>
      </c>
      <c r="H117" s="8" t="s">
        <v>26</v>
      </c>
      <c r="I117" s="12">
        <v>36000</v>
      </c>
      <c r="J117" s="14" t="s">
        <v>39</v>
      </c>
      <c r="K117" s="9" t="s">
        <v>40</v>
      </c>
      <c r="L117" s="9" t="s">
        <v>477</v>
      </c>
      <c r="M117" s="5" t="str">
        <f>_xlfn.XLOOKUP(N117,enums!$C:$C,enums!$B:$B,"")</f>
        <v>多功能英雄车</v>
      </c>
      <c r="N117" s="6" t="s">
        <v>478</v>
      </c>
    </row>
    <row r="118" ht="33" spans="1:14">
      <c r="A118" s="8" t="s">
        <v>479</v>
      </c>
      <c r="B118" s="9">
        <v>19</v>
      </c>
      <c r="C118" s="9">
        <v>87</v>
      </c>
      <c r="D118" s="9" t="s">
        <v>418</v>
      </c>
      <c r="E118" s="9">
        <v>19</v>
      </c>
      <c r="F118" s="9" t="s">
        <v>480</v>
      </c>
      <c r="G118" s="10" t="s">
        <v>473</v>
      </c>
      <c r="H118" s="8" t="s">
        <v>26</v>
      </c>
      <c r="I118" s="12">
        <v>55000</v>
      </c>
      <c r="J118" s="14" t="s">
        <v>39</v>
      </c>
      <c r="K118" s="9" t="s">
        <v>40</v>
      </c>
      <c r="L118" s="9" t="s">
        <v>477</v>
      </c>
      <c r="M118" s="5" t="str">
        <f>_xlfn.XLOOKUP(N118,enums!$C:$C,enums!$B:$B,"")</f>
        <v>经典肌肉车</v>
      </c>
      <c r="N118" s="6" t="s">
        <v>466</v>
      </c>
    </row>
    <row r="119" ht="33" spans="1:14">
      <c r="A119" s="8" t="s">
        <v>481</v>
      </c>
      <c r="B119" s="9">
        <v>19</v>
      </c>
      <c r="C119" s="9">
        <v>87</v>
      </c>
      <c r="D119" s="9" t="s">
        <v>418</v>
      </c>
      <c r="E119" s="9">
        <v>20</v>
      </c>
      <c r="F119" s="9" t="s">
        <v>482</v>
      </c>
      <c r="G119" s="10" t="s">
        <v>473</v>
      </c>
      <c r="H119" s="8" t="s">
        <v>26</v>
      </c>
      <c r="I119" s="12">
        <v>90000</v>
      </c>
      <c r="J119" s="14" t="s">
        <v>39</v>
      </c>
      <c r="K119" s="9" t="s">
        <v>40</v>
      </c>
      <c r="L119" s="9" t="s">
        <v>483</v>
      </c>
      <c r="M119" s="5" t="str">
        <f>_xlfn.XLOOKUP(N119,enums!$C:$C,enums!$B:$B,"")</f>
        <v>经典肌肉车</v>
      </c>
      <c r="N119" s="6" t="s">
        <v>466</v>
      </c>
    </row>
    <row r="120" ht="33" spans="1:14">
      <c r="A120" s="8" t="s">
        <v>484</v>
      </c>
      <c r="B120" s="9">
        <v>19</v>
      </c>
      <c r="C120" s="9">
        <v>87</v>
      </c>
      <c r="D120" s="9" t="s">
        <v>418</v>
      </c>
      <c r="E120" s="9">
        <v>21</v>
      </c>
      <c r="F120" s="9" t="s">
        <v>485</v>
      </c>
      <c r="G120" s="10" t="s">
        <v>486</v>
      </c>
      <c r="H120" s="8" t="s">
        <v>26</v>
      </c>
      <c r="I120" s="12">
        <v>75000</v>
      </c>
      <c r="J120" s="14" t="s">
        <v>39</v>
      </c>
      <c r="K120" s="9" t="s">
        <v>40</v>
      </c>
      <c r="L120" s="9" t="s">
        <v>57</v>
      </c>
      <c r="M120" s="5" t="str">
        <f>_xlfn.XLOOKUP(N120,enums!$C:$C,enums!$B:$B,"")</f>
        <v>经典肌肉车</v>
      </c>
      <c r="N120" s="6" t="s">
        <v>466</v>
      </c>
    </row>
    <row r="121" ht="33" spans="1:14">
      <c r="A121" s="8" t="s">
        <v>487</v>
      </c>
      <c r="B121" s="9">
        <v>19</v>
      </c>
      <c r="C121" s="9">
        <v>87</v>
      </c>
      <c r="D121" s="9" t="s">
        <v>418</v>
      </c>
      <c r="E121" s="9">
        <v>22</v>
      </c>
      <c r="F121" s="9" t="s">
        <v>488</v>
      </c>
      <c r="G121" s="10" t="s">
        <v>486</v>
      </c>
      <c r="H121" s="8" t="s">
        <v>26</v>
      </c>
      <c r="I121" s="12">
        <v>40000</v>
      </c>
      <c r="J121" s="13" t="s">
        <v>19</v>
      </c>
      <c r="K121" s="9" t="s">
        <v>40</v>
      </c>
      <c r="L121" s="9" t="s">
        <v>489</v>
      </c>
      <c r="M121" s="5" t="str">
        <f>_xlfn.XLOOKUP(N121,enums!$C:$C,enums!$B:$B,"")</f>
        <v>经典肌肉车</v>
      </c>
      <c r="N121" s="6" t="s">
        <v>466</v>
      </c>
    </row>
    <row r="122" ht="33" spans="1:14">
      <c r="A122" s="8" t="s">
        <v>490</v>
      </c>
      <c r="B122" s="9">
        <v>19</v>
      </c>
      <c r="C122" s="9">
        <v>87</v>
      </c>
      <c r="D122" s="9" t="s">
        <v>418</v>
      </c>
      <c r="E122" s="9">
        <v>23</v>
      </c>
      <c r="F122" s="9" t="s">
        <v>491</v>
      </c>
      <c r="G122" s="10" t="s">
        <v>492</v>
      </c>
      <c r="H122" s="8" t="s">
        <v>493</v>
      </c>
      <c r="I122" s="12">
        <v>135000</v>
      </c>
      <c r="J122" s="15" t="s">
        <v>46</v>
      </c>
      <c r="K122" s="9" t="s">
        <v>40</v>
      </c>
      <c r="L122" s="9" t="s">
        <v>377</v>
      </c>
      <c r="M122" s="5" t="str">
        <f>_xlfn.XLOOKUP(N122,enums!$C:$C,enums!$B:$B,"")</f>
        <v>经典肌肉车</v>
      </c>
      <c r="N122" s="6" t="s">
        <v>466</v>
      </c>
    </row>
    <row r="123" ht="33" spans="1:14">
      <c r="A123" s="8" t="s">
        <v>494</v>
      </c>
      <c r="B123" s="9">
        <v>19</v>
      </c>
      <c r="C123" s="9">
        <v>87</v>
      </c>
      <c r="D123" s="9" t="s">
        <v>418</v>
      </c>
      <c r="E123" s="9">
        <v>24</v>
      </c>
      <c r="F123" s="9" t="s">
        <v>495</v>
      </c>
      <c r="G123" s="10" t="s">
        <v>173</v>
      </c>
      <c r="H123" s="8" t="s">
        <v>26</v>
      </c>
      <c r="I123" s="12">
        <v>70000</v>
      </c>
      <c r="J123" s="13" t="s">
        <v>19</v>
      </c>
      <c r="K123" s="9" t="s">
        <v>40</v>
      </c>
      <c r="L123" s="9" t="s">
        <v>496</v>
      </c>
      <c r="M123" s="5" t="str">
        <f>_xlfn.XLOOKUP(N123,enums!$C:$C,enums!$B:$B,"")</f>
        <v>改装车和特制车</v>
      </c>
      <c r="N123" s="6" t="s">
        <v>497</v>
      </c>
    </row>
    <row r="124" ht="33" spans="1:14">
      <c r="A124" s="8" t="s">
        <v>498</v>
      </c>
      <c r="B124" s="9">
        <v>19</v>
      </c>
      <c r="C124" s="9">
        <v>87</v>
      </c>
      <c r="D124" s="9" t="s">
        <v>418</v>
      </c>
      <c r="E124" s="9">
        <v>25</v>
      </c>
      <c r="F124" s="9" t="s">
        <v>499</v>
      </c>
      <c r="G124" s="10" t="s">
        <v>500</v>
      </c>
      <c r="H124" s="8" t="s">
        <v>124</v>
      </c>
      <c r="I124" s="12">
        <v>250000</v>
      </c>
      <c r="J124" s="15" t="s">
        <v>46</v>
      </c>
      <c r="K124" s="9" t="s">
        <v>40</v>
      </c>
      <c r="L124" s="9" t="s">
        <v>501</v>
      </c>
      <c r="M124" s="5" t="str">
        <f>_xlfn.XLOOKUP(N124,enums!$C:$C,enums!$B:$B,"")</f>
        <v>经典跑车</v>
      </c>
      <c r="N124" s="6" t="s">
        <v>261</v>
      </c>
    </row>
    <row r="125" ht="33" spans="1:14">
      <c r="A125" s="8" t="s">
        <v>502</v>
      </c>
      <c r="B125" s="9">
        <v>19</v>
      </c>
      <c r="C125" s="9">
        <v>87</v>
      </c>
      <c r="D125" s="9" t="s">
        <v>418</v>
      </c>
      <c r="E125" s="9">
        <v>26</v>
      </c>
      <c r="F125" s="9" t="s">
        <v>503</v>
      </c>
      <c r="G125" s="10" t="s">
        <v>385</v>
      </c>
      <c r="H125" s="8" t="s">
        <v>26</v>
      </c>
      <c r="I125" s="12">
        <v>69000</v>
      </c>
      <c r="J125" s="14" t="s">
        <v>39</v>
      </c>
      <c r="K125" s="9" t="s">
        <v>40</v>
      </c>
      <c r="L125" s="9" t="s">
        <v>504</v>
      </c>
      <c r="M125" s="5" t="str">
        <f>_xlfn.XLOOKUP(N125,enums!$C:$C,enums!$B:$B,"")</f>
        <v>改装车和特制车</v>
      </c>
      <c r="N125" s="6" t="s">
        <v>497</v>
      </c>
    </row>
    <row r="126" ht="33" spans="1:14">
      <c r="A126" s="8" t="s">
        <v>505</v>
      </c>
      <c r="B126" s="9">
        <v>19</v>
      </c>
      <c r="C126" s="9">
        <v>87</v>
      </c>
      <c r="D126" s="9" t="s">
        <v>418</v>
      </c>
      <c r="E126" s="9">
        <v>27</v>
      </c>
      <c r="F126" s="9" t="s">
        <v>506</v>
      </c>
      <c r="G126" s="10" t="s">
        <v>507</v>
      </c>
      <c r="H126" s="8" t="s">
        <v>26</v>
      </c>
      <c r="I126" s="12">
        <v>140000</v>
      </c>
      <c r="J126" s="13" t="s">
        <v>19</v>
      </c>
      <c r="K126" s="9" t="s">
        <v>40</v>
      </c>
      <c r="L126" s="9" t="s">
        <v>508</v>
      </c>
      <c r="M126" s="5" t="str">
        <f>_xlfn.XLOOKUP(N126,enums!$C:$C,enums!$B:$B,"")</f>
        <v>改装车和特制车</v>
      </c>
      <c r="N126" s="6" t="s">
        <v>497</v>
      </c>
    </row>
    <row r="127" ht="33" spans="1:14">
      <c r="A127" s="8" t="s">
        <v>509</v>
      </c>
      <c r="B127" s="9">
        <v>19</v>
      </c>
      <c r="C127" s="9">
        <v>87</v>
      </c>
      <c r="D127" s="9" t="s">
        <v>418</v>
      </c>
      <c r="E127" s="9">
        <v>28</v>
      </c>
      <c r="F127" s="9" t="s">
        <v>510</v>
      </c>
      <c r="G127" s="10" t="s">
        <v>511</v>
      </c>
      <c r="H127" s="8" t="s">
        <v>26</v>
      </c>
      <c r="I127" s="12">
        <v>269000</v>
      </c>
      <c r="J127" s="16" t="s">
        <v>91</v>
      </c>
      <c r="K127" s="9" t="s">
        <v>40</v>
      </c>
      <c r="L127" s="9" t="s">
        <v>512</v>
      </c>
      <c r="M127" s="5" t="str">
        <f>_xlfn.XLOOKUP(N127,enums!$C:$C,enums!$B:$B,"")</f>
        <v>经典跑车</v>
      </c>
      <c r="N127" s="6" t="s">
        <v>261</v>
      </c>
    </row>
    <row r="128" ht="49.5" spans="1:14">
      <c r="A128" s="8" t="s">
        <v>513</v>
      </c>
      <c r="B128" s="9">
        <v>20</v>
      </c>
      <c r="C128" s="9">
        <v>54</v>
      </c>
      <c r="D128" s="9" t="s">
        <v>514</v>
      </c>
      <c r="E128" s="9">
        <v>1</v>
      </c>
      <c r="F128" s="9" t="s">
        <v>515</v>
      </c>
      <c r="G128" s="10" t="s">
        <v>469</v>
      </c>
      <c r="H128" s="8" t="s">
        <v>178</v>
      </c>
      <c r="I128" s="12" t="s">
        <v>63</v>
      </c>
      <c r="J128" s="15" t="s">
        <v>46</v>
      </c>
      <c r="K128" s="9" t="s">
        <v>266</v>
      </c>
      <c r="L128" s="9" t="s">
        <v>516</v>
      </c>
      <c r="M128" s="5" t="str">
        <f>_xlfn.XLOOKUP(N128,enums!$C:$C,enums!$B:$B,"")</f>
        <v>极限赛道玩具</v>
      </c>
      <c r="N128" s="17" t="s">
        <v>127</v>
      </c>
    </row>
    <row r="129" ht="33" spans="1:14">
      <c r="A129" s="8" t="s">
        <v>517</v>
      </c>
      <c r="B129" s="9">
        <v>20</v>
      </c>
      <c r="C129" s="9">
        <v>54</v>
      </c>
      <c r="D129" s="9" t="s">
        <v>514</v>
      </c>
      <c r="E129" s="9">
        <v>2</v>
      </c>
      <c r="F129" s="9" t="s">
        <v>518</v>
      </c>
      <c r="G129" s="10" t="s">
        <v>473</v>
      </c>
      <c r="H129" s="8" t="s">
        <v>26</v>
      </c>
      <c r="I129" s="12">
        <v>86000</v>
      </c>
      <c r="J129" s="13" t="s">
        <v>19</v>
      </c>
      <c r="K129" s="9" t="s">
        <v>266</v>
      </c>
      <c r="L129" s="9" t="s">
        <v>519</v>
      </c>
      <c r="M129" s="5" t="str">
        <f>_xlfn.XLOOKUP(N129,enums!$C:$C,enums!$B:$B,"")</f>
        <v>经典跑车</v>
      </c>
      <c r="N129" s="6" t="s">
        <v>261</v>
      </c>
    </row>
    <row r="130" ht="33" spans="1:14">
      <c r="A130" s="8" t="s">
        <v>520</v>
      </c>
      <c r="B130" s="9">
        <v>20</v>
      </c>
      <c r="C130" s="9">
        <v>54</v>
      </c>
      <c r="D130" s="9" t="s">
        <v>514</v>
      </c>
      <c r="E130" s="9">
        <v>3</v>
      </c>
      <c r="F130" s="9" t="s">
        <v>521</v>
      </c>
      <c r="G130" s="10" t="s">
        <v>486</v>
      </c>
      <c r="H130" s="8" t="s">
        <v>18</v>
      </c>
      <c r="I130" s="12">
        <v>250000</v>
      </c>
      <c r="J130" s="13" t="s">
        <v>19</v>
      </c>
      <c r="K130" s="9" t="s">
        <v>266</v>
      </c>
      <c r="L130" s="9" t="s">
        <v>522</v>
      </c>
      <c r="M130" s="5" t="str">
        <f>_xlfn.XLOOKUP(N130,enums!$C:$C,enums!$B:$B,"")</f>
        <v>经典跑车</v>
      </c>
      <c r="N130" s="6" t="s">
        <v>261</v>
      </c>
    </row>
    <row r="131" ht="33" spans="1:14">
      <c r="A131" s="8" t="s">
        <v>523</v>
      </c>
      <c r="B131" s="9">
        <v>21</v>
      </c>
      <c r="C131" s="9">
        <v>11</v>
      </c>
      <c r="D131" s="9" t="s">
        <v>524</v>
      </c>
      <c r="E131" s="9">
        <v>1</v>
      </c>
      <c r="F131" s="9" t="s">
        <v>525</v>
      </c>
      <c r="G131" s="10" t="s">
        <v>123</v>
      </c>
      <c r="H131" s="8" t="s">
        <v>26</v>
      </c>
      <c r="I131" s="12">
        <v>250000</v>
      </c>
      <c r="J131" s="13" t="s">
        <v>19</v>
      </c>
      <c r="K131" s="9" t="s">
        <v>40</v>
      </c>
      <c r="L131" s="9" t="s">
        <v>526</v>
      </c>
      <c r="M131" s="5" t="str">
        <f>_xlfn.XLOOKUP(N131,enums!$C:$C,enums!$B:$B,"")</f>
        <v>漂移赛车</v>
      </c>
      <c r="N131" s="17" t="s">
        <v>527</v>
      </c>
    </row>
    <row r="132" ht="33" spans="1:14">
      <c r="A132" s="8" t="s">
        <v>528</v>
      </c>
      <c r="B132" s="9">
        <v>21</v>
      </c>
      <c r="C132" s="9">
        <v>11</v>
      </c>
      <c r="D132" s="9" t="s">
        <v>524</v>
      </c>
      <c r="E132" s="9">
        <v>2</v>
      </c>
      <c r="F132" s="9" t="s">
        <v>529</v>
      </c>
      <c r="G132" s="10" t="s">
        <v>123</v>
      </c>
      <c r="H132" s="8" t="s">
        <v>26</v>
      </c>
      <c r="I132" s="12">
        <v>275000</v>
      </c>
      <c r="J132" s="15" t="s">
        <v>46</v>
      </c>
      <c r="K132" s="9" t="s">
        <v>40</v>
      </c>
      <c r="L132" s="9" t="s">
        <v>530</v>
      </c>
      <c r="M132" s="5" t="str">
        <f>_xlfn.XLOOKUP(N132,enums!$C:$C,enums!$B:$B,"")</f>
        <v>无限制越野车</v>
      </c>
      <c r="N132" s="6" t="s">
        <v>107</v>
      </c>
    </row>
    <row r="133" ht="33" spans="1:14">
      <c r="A133" s="8" t="s">
        <v>531</v>
      </c>
      <c r="B133" s="9">
        <v>21</v>
      </c>
      <c r="C133" s="9">
        <v>11</v>
      </c>
      <c r="D133" s="9" t="s">
        <v>524</v>
      </c>
      <c r="E133" s="9">
        <v>3</v>
      </c>
      <c r="F133" s="9" t="s">
        <v>532</v>
      </c>
      <c r="G133" s="10" t="s">
        <v>198</v>
      </c>
      <c r="H133" s="8" t="s">
        <v>26</v>
      </c>
      <c r="I133" s="12">
        <v>250000</v>
      </c>
      <c r="J133" s="15" t="s">
        <v>46</v>
      </c>
      <c r="K133" s="9" t="s">
        <v>40</v>
      </c>
      <c r="L133" s="9" t="s">
        <v>533</v>
      </c>
      <c r="M133" s="5" t="str">
        <f>_xlfn.XLOOKUP(N133,enums!$C:$C,enums!$B:$B,"")</f>
        <v>漂移赛车</v>
      </c>
      <c r="N133" s="6" t="s">
        <v>527</v>
      </c>
    </row>
    <row r="134" ht="33" spans="1:14">
      <c r="A134" s="8" t="s">
        <v>534</v>
      </c>
      <c r="B134" s="9">
        <v>21</v>
      </c>
      <c r="C134" s="9">
        <v>11</v>
      </c>
      <c r="D134" s="9" t="s">
        <v>524</v>
      </c>
      <c r="E134" s="9">
        <v>4</v>
      </c>
      <c r="F134" s="9" t="s">
        <v>535</v>
      </c>
      <c r="G134" s="10" t="s">
        <v>198</v>
      </c>
      <c r="H134" s="8" t="s">
        <v>26</v>
      </c>
      <c r="I134" s="12">
        <v>150000</v>
      </c>
      <c r="J134" s="15" t="s">
        <v>46</v>
      </c>
      <c r="K134" s="9" t="s">
        <v>40</v>
      </c>
      <c r="L134" s="9" t="s">
        <v>536</v>
      </c>
      <c r="M134" s="5" t="str">
        <f>_xlfn.XLOOKUP(N134,enums!$C:$C,enums!$B:$B,"")</f>
        <v>无限制越野车</v>
      </c>
      <c r="N134" s="17" t="s">
        <v>107</v>
      </c>
    </row>
    <row r="135" spans="1:14">
      <c r="A135" s="8" t="s">
        <v>537</v>
      </c>
      <c r="B135" s="9">
        <v>22</v>
      </c>
      <c r="C135" s="9">
        <v>12</v>
      </c>
      <c r="D135" s="9" t="s">
        <v>538</v>
      </c>
      <c r="E135" s="9">
        <v>1</v>
      </c>
      <c r="F135" s="9" t="s">
        <v>539</v>
      </c>
      <c r="G135" s="10" t="s">
        <v>540</v>
      </c>
      <c r="H135" s="8" t="s">
        <v>26</v>
      </c>
      <c r="I135" s="12">
        <v>72000</v>
      </c>
      <c r="J135" s="16" t="s">
        <v>91</v>
      </c>
      <c r="K135" s="9" t="s">
        <v>40</v>
      </c>
      <c r="L135" s="9" t="s">
        <v>541</v>
      </c>
      <c r="M135" s="5" t="str">
        <f>_xlfn.XLOOKUP(N135,enums!$C:$C,enums!$B:$B,"")</f>
        <v>复古跑车</v>
      </c>
      <c r="N135" s="6" t="s">
        <v>364</v>
      </c>
    </row>
    <row r="136" ht="33" spans="1:14">
      <c r="A136" s="8" t="s">
        <v>542</v>
      </c>
      <c r="B136" s="9">
        <v>23</v>
      </c>
      <c r="C136" s="9">
        <v>56</v>
      </c>
      <c r="D136" s="9" t="s">
        <v>543</v>
      </c>
      <c r="E136" s="9">
        <v>1</v>
      </c>
      <c r="F136" s="9" t="s">
        <v>544</v>
      </c>
      <c r="G136" s="10" t="s">
        <v>44</v>
      </c>
      <c r="H136" s="8" t="s">
        <v>26</v>
      </c>
      <c r="I136" s="12">
        <v>87000</v>
      </c>
      <c r="J136" s="14" t="s">
        <v>39</v>
      </c>
      <c r="K136" s="9" t="s">
        <v>40</v>
      </c>
      <c r="L136" s="9" t="s">
        <v>445</v>
      </c>
      <c r="M136" s="5" t="str">
        <f>_xlfn.XLOOKUP(N136,enums!$C:$C,enums!$B:$B,"")</f>
        <v>现代肌肉车</v>
      </c>
      <c r="N136" s="6" t="s">
        <v>396</v>
      </c>
    </row>
    <row r="137" ht="49.5" spans="1:14">
      <c r="A137" s="8" t="s">
        <v>545</v>
      </c>
      <c r="B137" s="9">
        <v>23</v>
      </c>
      <c r="C137" s="9">
        <v>56</v>
      </c>
      <c r="D137" s="9" t="s">
        <v>543</v>
      </c>
      <c r="E137" s="9">
        <v>2</v>
      </c>
      <c r="F137" s="9" t="s">
        <v>546</v>
      </c>
      <c r="G137" s="10" t="s">
        <v>61</v>
      </c>
      <c r="H137" s="8" t="s">
        <v>547</v>
      </c>
      <c r="I137" s="12">
        <v>73000</v>
      </c>
      <c r="J137" s="15" t="s">
        <v>46</v>
      </c>
      <c r="K137" s="9" t="s">
        <v>40</v>
      </c>
      <c r="L137" s="9" t="s">
        <v>548</v>
      </c>
      <c r="M137" s="5" t="str">
        <f>_xlfn.XLOOKUP(N137,enums!$C:$C,enums!$B:$B,"")</f>
        <v>运动型多功能英雄车</v>
      </c>
      <c r="N137" s="6" t="s">
        <v>150</v>
      </c>
    </row>
    <row r="138" ht="66" spans="1:14">
      <c r="A138" s="8" t="s">
        <v>549</v>
      </c>
      <c r="B138" s="9">
        <v>23</v>
      </c>
      <c r="C138" s="9">
        <v>56</v>
      </c>
      <c r="D138" s="9" t="s">
        <v>543</v>
      </c>
      <c r="E138" s="9">
        <v>3</v>
      </c>
      <c r="F138" s="9" t="s">
        <v>550</v>
      </c>
      <c r="G138" s="10" t="s">
        <v>198</v>
      </c>
      <c r="H138" s="8" t="s">
        <v>551</v>
      </c>
      <c r="I138" s="12">
        <v>90000</v>
      </c>
      <c r="J138" s="14" t="s">
        <v>39</v>
      </c>
      <c r="K138" s="9" t="s">
        <v>40</v>
      </c>
      <c r="L138" s="9" t="s">
        <v>336</v>
      </c>
      <c r="M138" s="5" t="str">
        <f>_xlfn.XLOOKUP(N138,enums!$C:$C,enums!$B:$B,"")</f>
        <v>现代肌肉车</v>
      </c>
      <c r="N138" s="6" t="s">
        <v>396</v>
      </c>
    </row>
    <row r="139" ht="33" spans="1:14">
      <c r="A139" s="8" t="s">
        <v>552</v>
      </c>
      <c r="B139" s="9">
        <v>23</v>
      </c>
      <c r="C139" s="9">
        <v>56</v>
      </c>
      <c r="D139" s="9" t="s">
        <v>543</v>
      </c>
      <c r="E139" s="9">
        <v>4</v>
      </c>
      <c r="F139" s="9" t="s">
        <v>553</v>
      </c>
      <c r="G139" s="10" t="s">
        <v>17</v>
      </c>
      <c r="H139" s="8" t="s">
        <v>124</v>
      </c>
      <c r="I139" s="12">
        <v>290000</v>
      </c>
      <c r="J139" s="15" t="s">
        <v>46</v>
      </c>
      <c r="K139" s="9" t="s">
        <v>40</v>
      </c>
      <c r="L139" s="9" t="s">
        <v>554</v>
      </c>
      <c r="M139" s="5" t="str">
        <f>_xlfn.XLOOKUP(N139,enums!$C:$C,enums!$B:$B,"")</f>
        <v>赛道玩具</v>
      </c>
      <c r="N139" s="6" t="s">
        <v>273</v>
      </c>
    </row>
    <row r="140" ht="33" spans="1:14">
      <c r="A140" s="8" t="s">
        <v>555</v>
      </c>
      <c r="B140" s="9">
        <v>23</v>
      </c>
      <c r="C140" s="9">
        <v>56</v>
      </c>
      <c r="D140" s="9" t="s">
        <v>543</v>
      </c>
      <c r="E140" s="9">
        <v>5</v>
      </c>
      <c r="F140" s="9" t="s">
        <v>556</v>
      </c>
      <c r="G140" s="10" t="s">
        <v>114</v>
      </c>
      <c r="H140" s="8" t="s">
        <v>26</v>
      </c>
      <c r="I140" s="12">
        <v>44000</v>
      </c>
      <c r="J140" s="14" t="s">
        <v>39</v>
      </c>
      <c r="K140" s="9" t="s">
        <v>40</v>
      </c>
      <c r="L140" s="9" t="s">
        <v>199</v>
      </c>
      <c r="M140" s="5" t="str">
        <f>_xlfn.XLOOKUP(N140,enums!$C:$C,enums!$B:$B,"")</f>
        <v>现代肌肉车</v>
      </c>
      <c r="N140" s="6" t="s">
        <v>396</v>
      </c>
    </row>
    <row r="141" ht="33" spans="1:14">
      <c r="A141" s="8" t="s">
        <v>557</v>
      </c>
      <c r="B141" s="9">
        <v>23</v>
      </c>
      <c r="C141" s="9">
        <v>56</v>
      </c>
      <c r="D141" s="9" t="s">
        <v>543</v>
      </c>
      <c r="E141" s="9">
        <v>6</v>
      </c>
      <c r="F141" s="9" t="s">
        <v>558</v>
      </c>
      <c r="G141" s="10" t="s">
        <v>114</v>
      </c>
      <c r="H141" s="8" t="s">
        <v>26</v>
      </c>
      <c r="I141" s="12">
        <v>53000</v>
      </c>
      <c r="J141" s="14" t="s">
        <v>39</v>
      </c>
      <c r="K141" s="9" t="s">
        <v>40</v>
      </c>
      <c r="L141" s="9" t="s">
        <v>559</v>
      </c>
      <c r="M141" s="5" t="str">
        <f>_xlfn.XLOOKUP(N141,enums!$C:$C,enums!$B:$B,"")</f>
        <v>现代肌肉车</v>
      </c>
      <c r="N141" s="6" t="s">
        <v>396</v>
      </c>
    </row>
    <row r="142" ht="33" spans="1:14">
      <c r="A142" s="8" t="s">
        <v>560</v>
      </c>
      <c r="B142" s="9">
        <v>23</v>
      </c>
      <c r="C142" s="9">
        <v>56</v>
      </c>
      <c r="D142" s="9" t="s">
        <v>543</v>
      </c>
      <c r="E142" s="9">
        <v>7</v>
      </c>
      <c r="F142" s="9" t="s">
        <v>561</v>
      </c>
      <c r="G142" s="10" t="s">
        <v>341</v>
      </c>
      <c r="H142" s="8" t="s">
        <v>26</v>
      </c>
      <c r="I142" s="12">
        <v>115000</v>
      </c>
      <c r="J142" s="14" t="s">
        <v>39</v>
      </c>
      <c r="K142" s="9" t="s">
        <v>40</v>
      </c>
      <c r="L142" s="9" t="s">
        <v>562</v>
      </c>
      <c r="M142" s="5" t="str">
        <f>_xlfn.XLOOKUP(N142,enums!$C:$C,enums!$B:$B,"")</f>
        <v>赛道玩具</v>
      </c>
      <c r="N142" s="6" t="s">
        <v>273</v>
      </c>
    </row>
    <row r="143" ht="33" spans="1:14">
      <c r="A143" s="8" t="s">
        <v>563</v>
      </c>
      <c r="B143" s="9">
        <v>23</v>
      </c>
      <c r="C143" s="9">
        <v>56</v>
      </c>
      <c r="D143" s="9" t="s">
        <v>543</v>
      </c>
      <c r="E143" s="9">
        <v>8</v>
      </c>
      <c r="F143" s="9" t="s">
        <v>564</v>
      </c>
      <c r="G143" s="10" t="s">
        <v>239</v>
      </c>
      <c r="H143" s="8" t="s">
        <v>18</v>
      </c>
      <c r="I143" s="12">
        <v>250000</v>
      </c>
      <c r="J143" s="13" t="s">
        <v>19</v>
      </c>
      <c r="K143" s="9" t="s">
        <v>40</v>
      </c>
      <c r="L143" s="9" t="s">
        <v>565</v>
      </c>
      <c r="M143" s="5" t="str">
        <f>_xlfn.XLOOKUP(N143,enums!$C:$C,enums!$B:$B,"")</f>
        <v>现代肌肉车</v>
      </c>
      <c r="N143" s="6" t="s">
        <v>396</v>
      </c>
    </row>
    <row r="144" ht="33" spans="1:14">
      <c r="A144" s="8" t="s">
        <v>566</v>
      </c>
      <c r="B144" s="9">
        <v>23</v>
      </c>
      <c r="C144" s="9">
        <v>56</v>
      </c>
      <c r="D144" s="9" t="s">
        <v>543</v>
      </c>
      <c r="E144" s="9">
        <v>9</v>
      </c>
      <c r="F144" s="9" t="s">
        <v>567</v>
      </c>
      <c r="G144" s="10" t="s">
        <v>568</v>
      </c>
      <c r="H144" s="8" t="s">
        <v>569</v>
      </c>
      <c r="I144" s="12">
        <v>500000</v>
      </c>
      <c r="J144" s="18" t="s">
        <v>290</v>
      </c>
      <c r="K144" s="9" t="s">
        <v>40</v>
      </c>
      <c r="L144" s="9" t="s">
        <v>291</v>
      </c>
      <c r="M144" s="5" t="str">
        <f>_xlfn.XLOOKUP(N144,enums!$C:$C,enums!$B:$B,"")</f>
        <v>无限制越野车</v>
      </c>
      <c r="N144" s="6" t="s">
        <v>107</v>
      </c>
    </row>
    <row r="145" ht="33" spans="1:14">
      <c r="A145" s="8" t="s">
        <v>570</v>
      </c>
      <c r="B145" s="9">
        <v>23</v>
      </c>
      <c r="C145" s="9">
        <v>56</v>
      </c>
      <c r="D145" s="9" t="s">
        <v>543</v>
      </c>
      <c r="E145" s="9">
        <v>10</v>
      </c>
      <c r="F145" s="9" t="s">
        <v>571</v>
      </c>
      <c r="G145" s="10" t="s">
        <v>568</v>
      </c>
      <c r="H145" s="8" t="s">
        <v>72</v>
      </c>
      <c r="I145" s="12">
        <v>68000</v>
      </c>
      <c r="J145" s="16" t="s">
        <v>91</v>
      </c>
      <c r="K145" s="9" t="s">
        <v>40</v>
      </c>
      <c r="L145" s="9" t="s">
        <v>236</v>
      </c>
      <c r="M145" s="5" t="str">
        <f>_xlfn.XLOOKUP(N145,enums!$C:$C,enums!$B:$B,"")</f>
        <v>复古肌肉车</v>
      </c>
      <c r="N145" s="6" t="s">
        <v>391</v>
      </c>
    </row>
    <row r="146" ht="33" spans="1:14">
      <c r="A146" s="8" t="s">
        <v>572</v>
      </c>
      <c r="B146" s="9">
        <v>23</v>
      </c>
      <c r="C146" s="9">
        <v>56</v>
      </c>
      <c r="D146" s="9" t="s">
        <v>543</v>
      </c>
      <c r="E146" s="9">
        <v>11</v>
      </c>
      <c r="F146" s="9" t="s">
        <v>573</v>
      </c>
      <c r="G146" s="10" t="s">
        <v>473</v>
      </c>
      <c r="H146" s="8" t="s">
        <v>26</v>
      </c>
      <c r="I146" s="12">
        <v>175000</v>
      </c>
      <c r="J146" s="14" t="s">
        <v>39</v>
      </c>
      <c r="K146" s="9" t="s">
        <v>40</v>
      </c>
      <c r="L146" s="9" t="s">
        <v>574</v>
      </c>
      <c r="M146" s="5" t="str">
        <f>_xlfn.XLOOKUP(N146,enums!$C:$C,enums!$B:$B,"")</f>
        <v>经典肌肉车</v>
      </c>
      <c r="N146" s="6" t="s">
        <v>466</v>
      </c>
    </row>
    <row r="147" ht="33" spans="1:14">
      <c r="A147" s="8" t="s">
        <v>575</v>
      </c>
      <c r="B147" s="9">
        <v>23</v>
      </c>
      <c r="C147" s="9">
        <v>56</v>
      </c>
      <c r="D147" s="9" t="s">
        <v>543</v>
      </c>
      <c r="E147" s="9">
        <v>12</v>
      </c>
      <c r="F147" s="9" t="s">
        <v>576</v>
      </c>
      <c r="G147" s="10" t="s">
        <v>473</v>
      </c>
      <c r="H147" s="8" t="s">
        <v>124</v>
      </c>
      <c r="I147" s="12">
        <v>525000</v>
      </c>
      <c r="J147" s="15" t="s">
        <v>46</v>
      </c>
      <c r="K147" s="9" t="s">
        <v>40</v>
      </c>
      <c r="L147" s="9" t="s">
        <v>577</v>
      </c>
      <c r="M147" s="5" t="str">
        <f>_xlfn.XLOOKUP(N147,enums!$C:$C,enums!$B:$B,"")</f>
        <v>经典肌肉车</v>
      </c>
      <c r="N147" s="6" t="s">
        <v>466</v>
      </c>
    </row>
    <row r="148" ht="49.5" spans="1:14">
      <c r="A148" s="8" t="s">
        <v>578</v>
      </c>
      <c r="B148" s="9">
        <v>23</v>
      </c>
      <c r="C148" s="9">
        <v>56</v>
      </c>
      <c r="D148" s="9" t="s">
        <v>543</v>
      </c>
      <c r="E148" s="9">
        <v>13</v>
      </c>
      <c r="F148" s="9" t="s">
        <v>579</v>
      </c>
      <c r="G148" s="10" t="s">
        <v>486</v>
      </c>
      <c r="H148" s="8" t="s">
        <v>580</v>
      </c>
      <c r="I148" s="12">
        <v>541000</v>
      </c>
      <c r="J148" s="15" t="s">
        <v>46</v>
      </c>
      <c r="K148" s="9" t="s">
        <v>40</v>
      </c>
      <c r="L148" s="9" t="s">
        <v>581</v>
      </c>
      <c r="M148" s="5" t="str">
        <f>_xlfn.XLOOKUP(N148,enums!$C:$C,enums!$B:$B,"")</f>
        <v>经典肌肉车</v>
      </c>
      <c r="N148" s="6" t="s">
        <v>466</v>
      </c>
    </row>
    <row r="149" ht="33" spans="1:14">
      <c r="A149" s="8" t="s">
        <v>582</v>
      </c>
      <c r="B149" s="9">
        <v>23</v>
      </c>
      <c r="C149" s="9">
        <v>56</v>
      </c>
      <c r="D149" s="9" t="s">
        <v>543</v>
      </c>
      <c r="E149" s="9">
        <v>14</v>
      </c>
      <c r="F149" s="9" t="s">
        <v>583</v>
      </c>
      <c r="G149" s="10" t="s">
        <v>486</v>
      </c>
      <c r="H149" s="8" t="s">
        <v>584</v>
      </c>
      <c r="I149" s="12">
        <v>224000</v>
      </c>
      <c r="J149" s="9" t="s">
        <v>376</v>
      </c>
      <c r="K149" s="9" t="s">
        <v>40</v>
      </c>
      <c r="L149" s="9" t="s">
        <v>174</v>
      </c>
      <c r="M149" s="5" t="str">
        <f>_xlfn.XLOOKUP(N149,enums!$C:$C,enums!$B:$B,"")</f>
        <v>经典肌肉车</v>
      </c>
      <c r="N149" s="6" t="s">
        <v>466</v>
      </c>
    </row>
    <row r="150" ht="33" spans="1:14">
      <c r="A150" s="8" t="s">
        <v>585</v>
      </c>
      <c r="B150" s="9">
        <v>23</v>
      </c>
      <c r="C150" s="9">
        <v>56</v>
      </c>
      <c r="D150" s="9" t="s">
        <v>543</v>
      </c>
      <c r="E150" s="9">
        <v>15</v>
      </c>
      <c r="F150" s="9" t="s">
        <v>586</v>
      </c>
      <c r="G150" s="10" t="s">
        <v>31</v>
      </c>
      <c r="H150" s="8" t="s">
        <v>124</v>
      </c>
      <c r="I150" s="12">
        <v>300000</v>
      </c>
      <c r="J150" s="16" t="s">
        <v>91</v>
      </c>
      <c r="K150" s="9" t="s">
        <v>40</v>
      </c>
      <c r="L150" s="9" t="s">
        <v>21</v>
      </c>
      <c r="M150" s="5" t="str">
        <f>_xlfn.XLOOKUP(N150,enums!$C:$C,enums!$B:$B,"")</f>
        <v>经典肌肉车</v>
      </c>
      <c r="N150" s="6" t="s">
        <v>466</v>
      </c>
    </row>
    <row r="151" ht="33" spans="1:14">
      <c r="A151" s="8" t="s">
        <v>587</v>
      </c>
      <c r="B151" s="9">
        <v>24</v>
      </c>
      <c r="C151" s="9">
        <v>57</v>
      </c>
      <c r="D151" s="9" t="s">
        <v>588</v>
      </c>
      <c r="E151" s="9">
        <v>1</v>
      </c>
      <c r="F151" s="9" t="s">
        <v>589</v>
      </c>
      <c r="G151" s="10" t="s">
        <v>590</v>
      </c>
      <c r="H151" s="8" t="s">
        <v>62</v>
      </c>
      <c r="I151" s="12" t="s">
        <v>63</v>
      </c>
      <c r="J151" s="9"/>
      <c r="K151" s="9" t="s">
        <v>20</v>
      </c>
      <c r="L151" s="9" t="s">
        <v>591</v>
      </c>
      <c r="M151" s="5" t="str">
        <f>_xlfn.XLOOKUP(N151,enums!$C:$C,enums!$B:$B,"")</f>
        <v>顶级超跑</v>
      </c>
      <c r="N151" s="6" t="s">
        <v>142</v>
      </c>
    </row>
    <row r="152" ht="33" spans="1:14">
      <c r="A152" s="8" t="s">
        <v>592</v>
      </c>
      <c r="B152" s="9">
        <v>24</v>
      </c>
      <c r="C152" s="9">
        <v>57</v>
      </c>
      <c r="D152" s="9" t="s">
        <v>588</v>
      </c>
      <c r="E152" s="9">
        <v>2</v>
      </c>
      <c r="F152" s="9" t="s">
        <v>593</v>
      </c>
      <c r="G152" s="10" t="s">
        <v>44</v>
      </c>
      <c r="H152" s="8" t="s">
        <v>18</v>
      </c>
      <c r="I152" s="12">
        <v>380000</v>
      </c>
      <c r="J152" s="15" t="s">
        <v>46</v>
      </c>
      <c r="K152" s="9" t="s">
        <v>20</v>
      </c>
      <c r="L152" s="9" t="s">
        <v>594</v>
      </c>
      <c r="M152" s="5" t="str">
        <f>_xlfn.XLOOKUP(N152,enums!$C:$C,enums!$B:$B,"")</f>
        <v>现代超级跑车</v>
      </c>
      <c r="N152" s="6" t="s">
        <v>48</v>
      </c>
    </row>
    <row r="153" ht="33" spans="1:14">
      <c r="A153" s="8" t="s">
        <v>595</v>
      </c>
      <c r="B153" s="9">
        <v>24</v>
      </c>
      <c r="C153" s="9">
        <v>57</v>
      </c>
      <c r="D153" s="9" t="s">
        <v>588</v>
      </c>
      <c r="E153" s="9">
        <v>3</v>
      </c>
      <c r="F153" s="9" t="s">
        <v>596</v>
      </c>
      <c r="G153" s="10" t="s">
        <v>191</v>
      </c>
      <c r="H153" s="8" t="s">
        <v>26</v>
      </c>
      <c r="I153" s="12">
        <v>575000</v>
      </c>
      <c r="J153" s="16" t="s">
        <v>91</v>
      </c>
      <c r="K153" s="9" t="s">
        <v>20</v>
      </c>
      <c r="L153" s="9" t="s">
        <v>597</v>
      </c>
      <c r="M153" s="5" t="str">
        <f>_xlfn.XLOOKUP(N153,enums!$C:$C,enums!$B:$B,"")</f>
        <v>顶级超跑</v>
      </c>
      <c r="N153" s="6" t="s">
        <v>142</v>
      </c>
    </row>
    <row r="154" ht="33" spans="1:14">
      <c r="A154" s="8" t="s">
        <v>598</v>
      </c>
      <c r="B154" s="9">
        <v>24</v>
      </c>
      <c r="C154" s="9">
        <v>57</v>
      </c>
      <c r="D154" s="9" t="s">
        <v>588</v>
      </c>
      <c r="E154" s="9">
        <v>4</v>
      </c>
      <c r="F154" s="9" t="s">
        <v>599</v>
      </c>
      <c r="G154" s="10" t="s">
        <v>191</v>
      </c>
      <c r="H154" s="8" t="s">
        <v>18</v>
      </c>
      <c r="I154" s="12">
        <v>250000</v>
      </c>
      <c r="J154" s="15" t="s">
        <v>46</v>
      </c>
      <c r="K154" s="9" t="s">
        <v>20</v>
      </c>
      <c r="L154" s="9" t="s">
        <v>562</v>
      </c>
      <c r="M154" s="5" t="str">
        <f>_xlfn.XLOOKUP(N154,enums!$C:$C,enums!$B:$B,"")</f>
        <v>超级豪华旅行车</v>
      </c>
      <c r="N154" s="6" t="s">
        <v>157</v>
      </c>
    </row>
    <row r="155" ht="33" spans="1:14">
      <c r="A155" s="8" t="s">
        <v>600</v>
      </c>
      <c r="B155" s="9">
        <v>24</v>
      </c>
      <c r="C155" s="9">
        <v>57</v>
      </c>
      <c r="D155" s="9" t="s">
        <v>588</v>
      </c>
      <c r="E155" s="9">
        <v>5</v>
      </c>
      <c r="F155" s="9" t="s">
        <v>601</v>
      </c>
      <c r="G155" s="10" t="s">
        <v>123</v>
      </c>
      <c r="H155" s="8" t="s">
        <v>26</v>
      </c>
      <c r="I155" s="12">
        <v>716000</v>
      </c>
      <c r="J155" s="15" t="s">
        <v>46</v>
      </c>
      <c r="K155" s="9" t="s">
        <v>20</v>
      </c>
      <c r="L155" s="9" t="s">
        <v>602</v>
      </c>
      <c r="M155" s="5" t="str">
        <f>_xlfn.XLOOKUP(N155,enums!$C:$C,enums!$B:$B,"")</f>
        <v>赛道玩具</v>
      </c>
      <c r="N155" s="6" t="s">
        <v>273</v>
      </c>
    </row>
    <row r="156" ht="33" spans="1:14">
      <c r="A156" s="8" t="s">
        <v>603</v>
      </c>
      <c r="B156" s="9">
        <v>24</v>
      </c>
      <c r="C156" s="9">
        <v>57</v>
      </c>
      <c r="D156" s="9" t="s">
        <v>588</v>
      </c>
      <c r="E156" s="9">
        <v>6</v>
      </c>
      <c r="F156" s="9" t="s">
        <v>604</v>
      </c>
      <c r="G156" s="10" t="s">
        <v>123</v>
      </c>
      <c r="H156" s="8" t="s">
        <v>124</v>
      </c>
      <c r="I156" s="12">
        <v>333000</v>
      </c>
      <c r="J156" s="16" t="s">
        <v>91</v>
      </c>
      <c r="K156" s="9" t="s">
        <v>20</v>
      </c>
      <c r="L156" s="9" t="s">
        <v>605</v>
      </c>
      <c r="M156" s="5" t="str">
        <f>_xlfn.XLOOKUP(N156,enums!$C:$C,enums!$B:$B,"")</f>
        <v>现代超级跑车</v>
      </c>
      <c r="N156" s="6" t="s">
        <v>48</v>
      </c>
    </row>
    <row r="157" ht="33" spans="1:14">
      <c r="A157" s="8" t="s">
        <v>606</v>
      </c>
      <c r="B157" s="9">
        <v>24</v>
      </c>
      <c r="C157" s="9">
        <v>57</v>
      </c>
      <c r="D157" s="9" t="s">
        <v>588</v>
      </c>
      <c r="E157" s="9">
        <v>7</v>
      </c>
      <c r="F157" s="9" t="s">
        <v>607</v>
      </c>
      <c r="G157" s="10" t="s">
        <v>123</v>
      </c>
      <c r="H157" s="8" t="s">
        <v>26</v>
      </c>
      <c r="I157" s="12">
        <v>2500000</v>
      </c>
      <c r="J157" s="16" t="s">
        <v>91</v>
      </c>
      <c r="K157" s="9" t="s">
        <v>20</v>
      </c>
      <c r="L157" s="9" t="s">
        <v>608</v>
      </c>
      <c r="M157" s="5" t="str">
        <f>_xlfn.XLOOKUP(N157,enums!$C:$C,enums!$B:$B,"")</f>
        <v>超级豪华旅行车</v>
      </c>
      <c r="N157" s="6" t="s">
        <v>157</v>
      </c>
    </row>
    <row r="158" ht="33" spans="1:14">
      <c r="A158" s="8" t="s">
        <v>609</v>
      </c>
      <c r="B158" s="9">
        <v>24</v>
      </c>
      <c r="C158" s="9">
        <v>57</v>
      </c>
      <c r="D158" s="9" t="s">
        <v>588</v>
      </c>
      <c r="E158" s="9">
        <v>8</v>
      </c>
      <c r="F158" s="9" t="s">
        <v>610</v>
      </c>
      <c r="G158" s="10" t="s">
        <v>198</v>
      </c>
      <c r="H158" s="8" t="s">
        <v>303</v>
      </c>
      <c r="I158" s="12">
        <v>250000</v>
      </c>
      <c r="J158" s="16" t="s">
        <v>91</v>
      </c>
      <c r="K158" s="9" t="s">
        <v>20</v>
      </c>
      <c r="L158" s="9" t="s">
        <v>611</v>
      </c>
      <c r="M158" s="5" t="str">
        <f>_xlfn.XLOOKUP(N158,enums!$C:$C,enums!$B:$B,"")</f>
        <v>极限赛道玩具</v>
      </c>
      <c r="N158" s="17" t="s">
        <v>127</v>
      </c>
    </row>
    <row r="159" ht="33" spans="1:14">
      <c r="A159" s="8" t="s">
        <v>612</v>
      </c>
      <c r="B159" s="9">
        <v>24</v>
      </c>
      <c r="C159" s="9">
        <v>57</v>
      </c>
      <c r="D159" s="9" t="s">
        <v>588</v>
      </c>
      <c r="E159" s="9">
        <v>9</v>
      </c>
      <c r="F159" s="9" t="s">
        <v>613</v>
      </c>
      <c r="G159" s="10" t="s">
        <v>198</v>
      </c>
      <c r="H159" s="8" t="s">
        <v>26</v>
      </c>
      <c r="I159" s="12">
        <v>4500000</v>
      </c>
      <c r="J159" s="16" t="s">
        <v>91</v>
      </c>
      <c r="K159" s="9" t="s">
        <v>20</v>
      </c>
      <c r="L159" s="9" t="s">
        <v>614</v>
      </c>
      <c r="M159" s="5" t="str">
        <f>_xlfn.XLOOKUP(N159,enums!$C:$C,enums!$B:$B,"")</f>
        <v>极限赛道玩具</v>
      </c>
      <c r="N159" s="6" t="s">
        <v>127</v>
      </c>
    </row>
    <row r="160" ht="33" spans="1:14">
      <c r="A160" s="8" t="s">
        <v>615</v>
      </c>
      <c r="B160" s="9">
        <v>24</v>
      </c>
      <c r="C160" s="9">
        <v>57</v>
      </c>
      <c r="D160" s="9" t="s">
        <v>588</v>
      </c>
      <c r="E160" s="9">
        <v>10</v>
      </c>
      <c r="F160" s="9" t="s">
        <v>616</v>
      </c>
      <c r="G160" s="10" t="s">
        <v>198</v>
      </c>
      <c r="H160" s="8" t="s">
        <v>26</v>
      </c>
      <c r="I160" s="12">
        <v>200000</v>
      </c>
      <c r="J160" s="15" t="s">
        <v>46</v>
      </c>
      <c r="K160" s="9" t="s">
        <v>20</v>
      </c>
      <c r="L160" s="9" t="s">
        <v>617</v>
      </c>
      <c r="M160" s="5" t="str">
        <f>_xlfn.XLOOKUP(N160,enums!$C:$C,enums!$B:$B,"")</f>
        <v>超级豪华旅行车</v>
      </c>
      <c r="N160" s="6" t="s">
        <v>157</v>
      </c>
    </row>
    <row r="161" ht="33" spans="1:14">
      <c r="A161" s="8" t="s">
        <v>618</v>
      </c>
      <c r="B161" s="9">
        <v>24</v>
      </c>
      <c r="C161" s="9">
        <v>57</v>
      </c>
      <c r="D161" s="9" t="s">
        <v>588</v>
      </c>
      <c r="E161" s="9">
        <v>11</v>
      </c>
      <c r="F161" s="9" t="s">
        <v>619</v>
      </c>
      <c r="G161" s="10" t="s">
        <v>67</v>
      </c>
      <c r="H161" s="8" t="s">
        <v>620</v>
      </c>
      <c r="I161" s="12">
        <v>309000</v>
      </c>
      <c r="J161" s="16" t="s">
        <v>91</v>
      </c>
      <c r="K161" s="9" t="s">
        <v>20</v>
      </c>
      <c r="L161" s="9" t="s">
        <v>304</v>
      </c>
      <c r="M161" s="5" t="str">
        <f>_xlfn.XLOOKUP(N161,enums!$C:$C,enums!$B:$B,"")</f>
        <v>现代超级跑车</v>
      </c>
      <c r="N161" s="6" t="s">
        <v>48</v>
      </c>
    </row>
    <row r="162" ht="33" spans="1:14">
      <c r="A162" s="8" t="s">
        <v>621</v>
      </c>
      <c r="B162" s="9">
        <v>24</v>
      </c>
      <c r="C162" s="9">
        <v>57</v>
      </c>
      <c r="D162" s="9" t="s">
        <v>588</v>
      </c>
      <c r="E162" s="9">
        <v>12</v>
      </c>
      <c r="F162" s="9" t="s">
        <v>622</v>
      </c>
      <c r="G162" s="10" t="s">
        <v>67</v>
      </c>
      <c r="H162" s="8" t="s">
        <v>26</v>
      </c>
      <c r="I162" s="12">
        <v>395000</v>
      </c>
      <c r="J162" s="16" t="s">
        <v>91</v>
      </c>
      <c r="K162" s="9" t="s">
        <v>20</v>
      </c>
      <c r="L162" s="9" t="s">
        <v>623</v>
      </c>
      <c r="M162" s="5" t="str">
        <f>_xlfn.XLOOKUP(N162,enums!$C:$C,enums!$B:$B,"")</f>
        <v>超级豪华旅行车</v>
      </c>
      <c r="N162" s="6" t="s">
        <v>157</v>
      </c>
    </row>
    <row r="163" ht="33" spans="1:14">
      <c r="A163" s="8" t="s">
        <v>624</v>
      </c>
      <c r="B163" s="9">
        <v>24</v>
      </c>
      <c r="C163" s="9">
        <v>57</v>
      </c>
      <c r="D163" s="9" t="s">
        <v>588</v>
      </c>
      <c r="E163" s="9">
        <v>13</v>
      </c>
      <c r="F163" s="9" t="s">
        <v>625</v>
      </c>
      <c r="G163" s="10" t="s">
        <v>67</v>
      </c>
      <c r="H163" s="8" t="s">
        <v>26</v>
      </c>
      <c r="I163" s="12">
        <v>2500000</v>
      </c>
      <c r="J163" s="14" t="s">
        <v>39</v>
      </c>
      <c r="K163" s="9" t="s">
        <v>20</v>
      </c>
      <c r="L163" s="9" t="s">
        <v>626</v>
      </c>
      <c r="M163" s="5" t="str">
        <f>_xlfn.XLOOKUP(N163,enums!$C:$C,enums!$B:$B,"")</f>
        <v>现代超级跑车</v>
      </c>
      <c r="N163" s="6" t="s">
        <v>48</v>
      </c>
    </row>
    <row r="164" ht="33" spans="1:14">
      <c r="A164" s="8" t="s">
        <v>627</v>
      </c>
      <c r="B164" s="9">
        <v>24</v>
      </c>
      <c r="C164" s="9">
        <v>57</v>
      </c>
      <c r="D164" s="9" t="s">
        <v>588</v>
      </c>
      <c r="E164" s="9">
        <v>14</v>
      </c>
      <c r="F164" s="9" t="s">
        <v>628</v>
      </c>
      <c r="G164" s="10" t="s">
        <v>114</v>
      </c>
      <c r="H164" s="8" t="s">
        <v>26</v>
      </c>
      <c r="I164" s="12">
        <v>500000</v>
      </c>
      <c r="J164" s="15" t="s">
        <v>46</v>
      </c>
      <c r="K164" s="9" t="s">
        <v>20</v>
      </c>
      <c r="L164" s="9" t="s">
        <v>629</v>
      </c>
      <c r="M164" s="5" t="str">
        <f>_xlfn.XLOOKUP(N164,enums!$C:$C,enums!$B:$B,"")</f>
        <v>超级豪华旅行车</v>
      </c>
      <c r="N164" s="6" t="s">
        <v>157</v>
      </c>
    </row>
    <row r="165" ht="33" spans="1:14">
      <c r="A165" s="8" t="s">
        <v>630</v>
      </c>
      <c r="B165" s="9">
        <v>24</v>
      </c>
      <c r="C165" s="9">
        <v>57</v>
      </c>
      <c r="D165" s="9" t="s">
        <v>588</v>
      </c>
      <c r="E165" s="9">
        <v>15</v>
      </c>
      <c r="F165" s="9" t="s">
        <v>631</v>
      </c>
      <c r="G165" s="10" t="s">
        <v>114</v>
      </c>
      <c r="H165" s="8" t="s">
        <v>26</v>
      </c>
      <c r="I165" s="12">
        <v>250000</v>
      </c>
      <c r="J165" s="15" t="s">
        <v>46</v>
      </c>
      <c r="K165" s="9" t="s">
        <v>20</v>
      </c>
      <c r="L165" s="9" t="s">
        <v>632</v>
      </c>
      <c r="M165" s="5" t="str">
        <f>_xlfn.XLOOKUP(N165,enums!$C:$C,enums!$B:$B,"")</f>
        <v>现代超级跑车</v>
      </c>
      <c r="N165" s="6" t="s">
        <v>48</v>
      </c>
    </row>
    <row r="166" ht="33" spans="1:14">
      <c r="A166" s="8" t="s">
        <v>633</v>
      </c>
      <c r="B166" s="9">
        <v>24</v>
      </c>
      <c r="C166" s="9">
        <v>57</v>
      </c>
      <c r="D166" s="9" t="s">
        <v>588</v>
      </c>
      <c r="E166" s="9">
        <v>16</v>
      </c>
      <c r="F166" s="9" t="s">
        <v>634</v>
      </c>
      <c r="G166" s="10" t="s">
        <v>71</v>
      </c>
      <c r="H166" s="8" t="s">
        <v>26</v>
      </c>
      <c r="I166" s="12">
        <v>4300000</v>
      </c>
      <c r="J166" s="16" t="s">
        <v>91</v>
      </c>
      <c r="K166" s="9" t="s">
        <v>20</v>
      </c>
      <c r="L166" s="9" t="s">
        <v>635</v>
      </c>
      <c r="M166" s="5" t="str">
        <f>_xlfn.XLOOKUP(N166,enums!$C:$C,enums!$B:$B,"")</f>
        <v>极限赛道玩具</v>
      </c>
      <c r="N166" s="6" t="s">
        <v>127</v>
      </c>
    </row>
    <row r="167" ht="33" spans="1:14">
      <c r="A167" s="8" t="s">
        <v>636</v>
      </c>
      <c r="B167" s="9">
        <v>24</v>
      </c>
      <c r="C167" s="9">
        <v>57</v>
      </c>
      <c r="D167" s="9" t="s">
        <v>588</v>
      </c>
      <c r="E167" s="9">
        <v>17</v>
      </c>
      <c r="F167" s="9" t="s">
        <v>637</v>
      </c>
      <c r="G167" s="10" t="s">
        <v>136</v>
      </c>
      <c r="H167" s="8" t="s">
        <v>26</v>
      </c>
      <c r="I167" s="12">
        <v>3000000</v>
      </c>
      <c r="J167" s="16" t="s">
        <v>91</v>
      </c>
      <c r="K167" s="9" t="s">
        <v>20</v>
      </c>
      <c r="L167" s="9" t="s">
        <v>638</v>
      </c>
      <c r="M167" s="5" t="str">
        <f>_xlfn.XLOOKUP(N167,enums!$C:$C,enums!$B:$B,"")</f>
        <v>顶级超跑</v>
      </c>
      <c r="N167" s="17" t="s">
        <v>142</v>
      </c>
    </row>
    <row r="168" ht="33" spans="1:14">
      <c r="A168" s="8" t="s">
        <v>639</v>
      </c>
      <c r="B168" s="9">
        <v>24</v>
      </c>
      <c r="C168" s="9">
        <v>57</v>
      </c>
      <c r="D168" s="9" t="s">
        <v>588</v>
      </c>
      <c r="E168" s="9">
        <v>18</v>
      </c>
      <c r="F168" s="9" t="s">
        <v>640</v>
      </c>
      <c r="G168" s="10" t="s">
        <v>136</v>
      </c>
      <c r="H168" s="8" t="s">
        <v>26</v>
      </c>
      <c r="I168" s="12">
        <v>500000</v>
      </c>
      <c r="J168" s="15" t="s">
        <v>46</v>
      </c>
      <c r="K168" s="9" t="s">
        <v>20</v>
      </c>
      <c r="L168" s="9" t="s">
        <v>641</v>
      </c>
      <c r="M168" s="5" t="str">
        <f>_xlfn.XLOOKUP(N168,enums!$C:$C,enums!$B:$B,"")</f>
        <v>赛道玩具</v>
      </c>
      <c r="N168" s="6" t="s">
        <v>273</v>
      </c>
    </row>
    <row r="169" ht="33" spans="1:14">
      <c r="A169" s="8" t="s">
        <v>642</v>
      </c>
      <c r="B169" s="9">
        <v>24</v>
      </c>
      <c r="C169" s="9">
        <v>57</v>
      </c>
      <c r="D169" s="9" t="s">
        <v>588</v>
      </c>
      <c r="E169" s="9">
        <v>19</v>
      </c>
      <c r="F169" s="9" t="s">
        <v>643</v>
      </c>
      <c r="G169" s="10" t="s">
        <v>329</v>
      </c>
      <c r="H169" s="8" t="s">
        <v>124</v>
      </c>
      <c r="I169" s="12">
        <v>3200000</v>
      </c>
      <c r="J169" s="16" t="s">
        <v>91</v>
      </c>
      <c r="K169" s="9" t="s">
        <v>20</v>
      </c>
      <c r="L169" s="9" t="s">
        <v>644</v>
      </c>
      <c r="M169" s="5" t="str">
        <f>_xlfn.XLOOKUP(N169,enums!$C:$C,enums!$B:$B,"")</f>
        <v>极限赛道玩具</v>
      </c>
      <c r="N169" s="6" t="s">
        <v>127</v>
      </c>
    </row>
    <row r="170" ht="33" spans="1:14">
      <c r="A170" s="8" t="s">
        <v>645</v>
      </c>
      <c r="B170" s="9">
        <v>24</v>
      </c>
      <c r="C170" s="9">
        <v>57</v>
      </c>
      <c r="D170" s="9" t="s">
        <v>588</v>
      </c>
      <c r="E170" s="9">
        <v>20</v>
      </c>
      <c r="F170" s="9" t="s">
        <v>646</v>
      </c>
      <c r="G170" s="10" t="s">
        <v>229</v>
      </c>
      <c r="H170" s="8" t="s">
        <v>26</v>
      </c>
      <c r="I170" s="12">
        <v>2000000</v>
      </c>
      <c r="J170" s="16" t="s">
        <v>91</v>
      </c>
      <c r="K170" s="9" t="s">
        <v>20</v>
      </c>
      <c r="L170" s="9" t="s">
        <v>647</v>
      </c>
      <c r="M170" s="5" t="str">
        <f>_xlfn.XLOOKUP(N170,enums!$C:$C,enums!$B:$B,"")</f>
        <v>极限赛道玩具</v>
      </c>
      <c r="N170" s="6" t="s">
        <v>127</v>
      </c>
    </row>
    <row r="171" ht="33" spans="1:14">
      <c r="A171" s="8" t="s">
        <v>648</v>
      </c>
      <c r="B171" s="9">
        <v>24</v>
      </c>
      <c r="C171" s="9">
        <v>57</v>
      </c>
      <c r="D171" s="9" t="s">
        <v>588</v>
      </c>
      <c r="E171" s="9">
        <v>21</v>
      </c>
      <c r="F171" s="9" t="s">
        <v>649</v>
      </c>
      <c r="G171" s="10" t="s">
        <v>232</v>
      </c>
      <c r="H171" s="8" t="s">
        <v>26</v>
      </c>
      <c r="I171" s="12">
        <v>210000</v>
      </c>
      <c r="J171" s="15" t="s">
        <v>46</v>
      </c>
      <c r="K171" s="9" t="s">
        <v>20</v>
      </c>
      <c r="L171" s="9" t="s">
        <v>650</v>
      </c>
      <c r="M171" s="5" t="str">
        <f>_xlfn.XLOOKUP(N171,enums!$C:$C,enums!$B:$B,"")</f>
        <v>现代超级跑车</v>
      </c>
      <c r="N171" s="6" t="s">
        <v>48</v>
      </c>
    </row>
    <row r="172" ht="33" spans="1:14">
      <c r="A172" s="8" t="s">
        <v>651</v>
      </c>
      <c r="B172" s="9">
        <v>24</v>
      </c>
      <c r="C172" s="9">
        <v>57</v>
      </c>
      <c r="D172" s="9" t="s">
        <v>588</v>
      </c>
      <c r="E172" s="9">
        <v>22</v>
      </c>
      <c r="F172" s="9" t="s">
        <v>652</v>
      </c>
      <c r="G172" s="10" t="s">
        <v>77</v>
      </c>
      <c r="H172" s="8" t="s">
        <v>26</v>
      </c>
      <c r="I172" s="12">
        <v>355000</v>
      </c>
      <c r="J172" s="15" t="s">
        <v>46</v>
      </c>
      <c r="K172" s="9" t="s">
        <v>20</v>
      </c>
      <c r="L172" s="9" t="s">
        <v>653</v>
      </c>
      <c r="M172" s="5" t="str">
        <f>_xlfn.XLOOKUP(N172,enums!$C:$C,enums!$B:$B,"")</f>
        <v>现代超级跑车</v>
      </c>
      <c r="N172" s="6" t="s">
        <v>48</v>
      </c>
    </row>
    <row r="173" ht="33" spans="1:14">
      <c r="A173" s="8" t="s">
        <v>654</v>
      </c>
      <c r="B173" s="9">
        <v>24</v>
      </c>
      <c r="C173" s="9">
        <v>57</v>
      </c>
      <c r="D173" s="9" t="s">
        <v>588</v>
      </c>
      <c r="E173" s="9">
        <v>23</v>
      </c>
      <c r="F173" s="9" t="s">
        <v>655</v>
      </c>
      <c r="G173" s="10" t="s">
        <v>348</v>
      </c>
      <c r="H173" s="8" t="s">
        <v>26</v>
      </c>
      <c r="I173" s="12">
        <v>2500000</v>
      </c>
      <c r="J173" s="16" t="s">
        <v>91</v>
      </c>
      <c r="K173" s="9" t="s">
        <v>20</v>
      </c>
      <c r="L173" s="9" t="s">
        <v>656</v>
      </c>
      <c r="M173" s="5" t="str">
        <f>_xlfn.XLOOKUP(N173,enums!$C:$C,enums!$B:$B,"")</f>
        <v>极限赛道玩具</v>
      </c>
      <c r="N173" s="6" t="s">
        <v>127</v>
      </c>
    </row>
    <row r="174" ht="33" spans="1:14">
      <c r="A174" s="8" t="s">
        <v>657</v>
      </c>
      <c r="B174" s="9">
        <v>24</v>
      </c>
      <c r="C174" s="9">
        <v>57</v>
      </c>
      <c r="D174" s="9" t="s">
        <v>588</v>
      </c>
      <c r="E174" s="9">
        <v>24</v>
      </c>
      <c r="F174" s="9" t="s">
        <v>658</v>
      </c>
      <c r="G174" s="10" t="s">
        <v>51</v>
      </c>
      <c r="H174" s="8" t="s">
        <v>72</v>
      </c>
      <c r="I174" s="12">
        <v>3500000</v>
      </c>
      <c r="J174" s="16" t="s">
        <v>91</v>
      </c>
      <c r="K174" s="9" t="s">
        <v>20</v>
      </c>
      <c r="L174" s="9" t="s">
        <v>442</v>
      </c>
      <c r="M174" s="5" t="str">
        <f>_xlfn.XLOOKUP(N174,enums!$C:$C,enums!$B:$B,"")</f>
        <v>复古超级轿车</v>
      </c>
      <c r="N174" s="17" t="s">
        <v>378</v>
      </c>
    </row>
    <row r="175" ht="33" spans="1:14">
      <c r="A175" s="8" t="s">
        <v>659</v>
      </c>
      <c r="B175" s="9">
        <v>24</v>
      </c>
      <c r="C175" s="9">
        <v>57</v>
      </c>
      <c r="D175" s="9" t="s">
        <v>588</v>
      </c>
      <c r="E175" s="9">
        <v>25</v>
      </c>
      <c r="F175" s="9" t="s">
        <v>660</v>
      </c>
      <c r="G175" s="10" t="s">
        <v>454</v>
      </c>
      <c r="H175" s="8" t="s">
        <v>661</v>
      </c>
      <c r="I175" s="12">
        <v>5500000</v>
      </c>
      <c r="J175" s="16" t="s">
        <v>91</v>
      </c>
      <c r="K175" s="9" t="s">
        <v>20</v>
      </c>
      <c r="L175" s="9" t="s">
        <v>662</v>
      </c>
      <c r="M175" s="5" t="str">
        <f>_xlfn.XLOOKUP(N175,enums!$C:$C,enums!$B:$B,"")</f>
        <v>极限赛道玩具</v>
      </c>
      <c r="N175" s="6" t="s">
        <v>127</v>
      </c>
    </row>
    <row r="176" ht="33" spans="1:14">
      <c r="A176" s="8" t="s">
        <v>663</v>
      </c>
      <c r="B176" s="9">
        <v>24</v>
      </c>
      <c r="C176" s="9">
        <v>57</v>
      </c>
      <c r="D176" s="9" t="s">
        <v>588</v>
      </c>
      <c r="E176" s="9">
        <v>26</v>
      </c>
      <c r="F176" s="9" t="s">
        <v>664</v>
      </c>
      <c r="G176" s="10" t="s">
        <v>359</v>
      </c>
      <c r="H176" s="8" t="s">
        <v>26</v>
      </c>
      <c r="I176" s="12">
        <v>4500000</v>
      </c>
      <c r="J176" s="16" t="s">
        <v>91</v>
      </c>
      <c r="K176" s="9" t="s">
        <v>20</v>
      </c>
      <c r="L176" s="9" t="s">
        <v>336</v>
      </c>
      <c r="M176" s="5" t="str">
        <f>_xlfn.XLOOKUP(N176,enums!$C:$C,enums!$B:$B,"")</f>
        <v>复古超级轿车</v>
      </c>
      <c r="N176" s="6" t="s">
        <v>378</v>
      </c>
    </row>
    <row r="177" ht="33" spans="1:14">
      <c r="A177" s="8" t="s">
        <v>665</v>
      </c>
      <c r="B177" s="9">
        <v>24</v>
      </c>
      <c r="C177" s="9">
        <v>57</v>
      </c>
      <c r="D177" s="9" t="s">
        <v>588</v>
      </c>
      <c r="E177" s="9">
        <v>27</v>
      </c>
      <c r="F177" s="9" t="s">
        <v>666</v>
      </c>
      <c r="G177" s="10" t="s">
        <v>667</v>
      </c>
      <c r="H177" s="8" t="s">
        <v>124</v>
      </c>
      <c r="I177" s="12">
        <v>250000</v>
      </c>
      <c r="J177" s="15" t="s">
        <v>46</v>
      </c>
      <c r="K177" s="9" t="s">
        <v>20</v>
      </c>
      <c r="L177" s="9" t="s">
        <v>668</v>
      </c>
      <c r="M177" s="5" t="str">
        <f>_xlfn.XLOOKUP(N177,enums!$C:$C,enums!$B:$B,"")</f>
        <v>复古超级轿车</v>
      </c>
      <c r="N177" s="6" t="s">
        <v>378</v>
      </c>
    </row>
    <row r="178" ht="33" spans="1:14">
      <c r="A178" s="8" t="s">
        <v>669</v>
      </c>
      <c r="B178" s="9">
        <v>24</v>
      </c>
      <c r="C178" s="9">
        <v>57</v>
      </c>
      <c r="D178" s="9" t="s">
        <v>588</v>
      </c>
      <c r="E178" s="9">
        <v>28</v>
      </c>
      <c r="F178" s="9" t="s">
        <v>670</v>
      </c>
      <c r="G178" s="10" t="s">
        <v>82</v>
      </c>
      <c r="H178" s="8" t="s">
        <v>124</v>
      </c>
      <c r="I178" s="12">
        <v>350000</v>
      </c>
      <c r="J178" s="15" t="s">
        <v>46</v>
      </c>
      <c r="K178" s="9" t="s">
        <v>20</v>
      </c>
      <c r="L178" s="9" t="s">
        <v>671</v>
      </c>
      <c r="M178" s="5" t="str">
        <f>_xlfn.XLOOKUP(N178,enums!$C:$C,enums!$B:$B,"")</f>
        <v>复古超级轿车</v>
      </c>
      <c r="N178" s="6" t="s">
        <v>378</v>
      </c>
    </row>
    <row r="179" ht="33" spans="1:14">
      <c r="A179" s="8" t="s">
        <v>672</v>
      </c>
      <c r="B179" s="9">
        <v>24</v>
      </c>
      <c r="C179" s="9">
        <v>57</v>
      </c>
      <c r="D179" s="9" t="s">
        <v>588</v>
      </c>
      <c r="E179" s="9">
        <v>29</v>
      </c>
      <c r="F179" s="9" t="s">
        <v>673</v>
      </c>
      <c r="G179" s="10" t="s">
        <v>674</v>
      </c>
      <c r="H179" s="8" t="s">
        <v>26</v>
      </c>
      <c r="I179" s="12">
        <v>3200000</v>
      </c>
      <c r="J179" s="16" t="s">
        <v>91</v>
      </c>
      <c r="K179" s="9" t="s">
        <v>20</v>
      </c>
      <c r="L179" s="9" t="s">
        <v>662</v>
      </c>
      <c r="M179" s="5" t="str">
        <f>_xlfn.XLOOKUP(N179,enums!$C:$C,enums!$B:$B,"")</f>
        <v>复古赛车</v>
      </c>
      <c r="N179" s="6" t="s">
        <v>88</v>
      </c>
    </row>
    <row r="180" ht="49.5" spans="1:14">
      <c r="A180" s="8" t="s">
        <v>675</v>
      </c>
      <c r="B180" s="9">
        <v>24</v>
      </c>
      <c r="C180" s="9">
        <v>57</v>
      </c>
      <c r="D180" s="9" t="s">
        <v>588</v>
      </c>
      <c r="E180" s="9">
        <v>30</v>
      </c>
      <c r="F180" s="9" t="s">
        <v>676</v>
      </c>
      <c r="G180" s="10" t="s">
        <v>389</v>
      </c>
      <c r="H180" s="8" t="s">
        <v>677</v>
      </c>
      <c r="I180" s="12">
        <v>2000000</v>
      </c>
      <c r="J180" s="16" t="s">
        <v>91</v>
      </c>
      <c r="K180" s="9" t="s">
        <v>20</v>
      </c>
      <c r="L180" s="9" t="s">
        <v>336</v>
      </c>
      <c r="M180" s="5" t="str">
        <f>_xlfn.XLOOKUP(N180,enums!$C:$C,enums!$B:$B,"")</f>
        <v>复古超级轿车</v>
      </c>
      <c r="N180" s="6" t="s">
        <v>378</v>
      </c>
    </row>
    <row r="181" ht="33" spans="1:14">
      <c r="A181" s="8" t="s">
        <v>678</v>
      </c>
      <c r="B181" s="9">
        <v>24</v>
      </c>
      <c r="C181" s="9">
        <v>57</v>
      </c>
      <c r="D181" s="9" t="s">
        <v>588</v>
      </c>
      <c r="E181" s="9">
        <v>31</v>
      </c>
      <c r="F181" s="9" t="s">
        <v>679</v>
      </c>
      <c r="G181" s="10" t="s">
        <v>680</v>
      </c>
      <c r="H181" s="8" t="s">
        <v>124</v>
      </c>
      <c r="I181" s="12">
        <v>2800000</v>
      </c>
      <c r="J181" s="16" t="s">
        <v>91</v>
      </c>
      <c r="K181" s="9" t="s">
        <v>20</v>
      </c>
      <c r="L181" s="9" t="s">
        <v>681</v>
      </c>
      <c r="M181" s="5" t="str">
        <f>_xlfn.XLOOKUP(N181,enums!$C:$C,enums!$B:$B,"")</f>
        <v>复古超级轿车</v>
      </c>
      <c r="N181" s="6" t="s">
        <v>378</v>
      </c>
    </row>
    <row r="182" ht="33" spans="1:14">
      <c r="A182" s="8" t="s">
        <v>682</v>
      </c>
      <c r="B182" s="9">
        <v>24</v>
      </c>
      <c r="C182" s="9">
        <v>57</v>
      </c>
      <c r="D182" s="9" t="s">
        <v>588</v>
      </c>
      <c r="E182" s="9">
        <v>32</v>
      </c>
      <c r="F182" s="9" t="s">
        <v>683</v>
      </c>
      <c r="G182" s="10" t="s">
        <v>473</v>
      </c>
      <c r="H182" s="8" t="s">
        <v>26</v>
      </c>
      <c r="I182" s="12">
        <v>3600000</v>
      </c>
      <c r="J182" s="16" t="s">
        <v>91</v>
      </c>
      <c r="K182" s="9" t="s">
        <v>20</v>
      </c>
      <c r="L182" s="9" t="s">
        <v>684</v>
      </c>
      <c r="M182" s="5" t="str">
        <f>_xlfn.XLOOKUP(N182,enums!$C:$C,enums!$B:$B,"")</f>
        <v>经典赛车</v>
      </c>
      <c r="N182" s="6" t="s">
        <v>93</v>
      </c>
    </row>
    <row r="183" ht="33" spans="1:14">
      <c r="A183" s="8" t="s">
        <v>685</v>
      </c>
      <c r="B183" s="9">
        <v>24</v>
      </c>
      <c r="C183" s="9">
        <v>57</v>
      </c>
      <c r="D183" s="9" t="s">
        <v>588</v>
      </c>
      <c r="E183" s="9">
        <v>33</v>
      </c>
      <c r="F183" s="9" t="s">
        <v>686</v>
      </c>
      <c r="G183" s="10" t="s">
        <v>486</v>
      </c>
      <c r="H183" s="8" t="s">
        <v>26</v>
      </c>
      <c r="I183" s="12">
        <v>390000</v>
      </c>
      <c r="J183" s="15" t="s">
        <v>46</v>
      </c>
      <c r="K183" s="9" t="s">
        <v>20</v>
      </c>
      <c r="L183" s="9" t="s">
        <v>501</v>
      </c>
      <c r="M183" s="5" t="str">
        <f>_xlfn.XLOOKUP(N183,enums!$C:$C,enums!$B:$B,"")</f>
        <v>稀有经典车</v>
      </c>
      <c r="N183" s="6" t="s">
        <v>102</v>
      </c>
    </row>
    <row r="184" ht="33" spans="1:14">
      <c r="A184" s="8" t="s">
        <v>687</v>
      </c>
      <c r="B184" s="9">
        <v>24</v>
      </c>
      <c r="C184" s="9">
        <v>57</v>
      </c>
      <c r="D184" s="9" t="s">
        <v>588</v>
      </c>
      <c r="E184" s="9">
        <v>34</v>
      </c>
      <c r="F184" s="9" t="s">
        <v>688</v>
      </c>
      <c r="G184" s="10" t="s">
        <v>492</v>
      </c>
      <c r="H184" s="8" t="s">
        <v>26</v>
      </c>
      <c r="I184" s="12">
        <v>70000000</v>
      </c>
      <c r="J184" s="16" t="s">
        <v>91</v>
      </c>
      <c r="K184" s="9" t="s">
        <v>20</v>
      </c>
      <c r="L184" s="9" t="s">
        <v>310</v>
      </c>
      <c r="M184" s="5" t="str">
        <f>_xlfn.XLOOKUP(N184,enums!$C:$C,enums!$B:$B,"")</f>
        <v>经典赛车</v>
      </c>
      <c r="N184" s="17" t="s">
        <v>93</v>
      </c>
    </row>
    <row r="185" ht="33" spans="1:14">
      <c r="A185" s="8" t="s">
        <v>689</v>
      </c>
      <c r="B185" s="9">
        <v>24</v>
      </c>
      <c r="C185" s="9">
        <v>57</v>
      </c>
      <c r="D185" s="9" t="s">
        <v>588</v>
      </c>
      <c r="E185" s="9">
        <v>35</v>
      </c>
      <c r="F185" s="9" t="s">
        <v>690</v>
      </c>
      <c r="G185" s="10" t="s">
        <v>492</v>
      </c>
      <c r="H185" s="8" t="s">
        <v>62</v>
      </c>
      <c r="I185" s="12" t="s">
        <v>63</v>
      </c>
      <c r="J185" s="9"/>
      <c r="K185" s="9" t="s">
        <v>20</v>
      </c>
      <c r="L185" s="9" t="s">
        <v>591</v>
      </c>
      <c r="M185" s="5" t="str">
        <f>_xlfn.XLOOKUP(N185,enums!$C:$C,enums!$B:$B,"")</f>
        <v>稀有经典车</v>
      </c>
      <c r="N185" s="6" t="s">
        <v>102</v>
      </c>
    </row>
    <row r="186" ht="33" spans="1:14">
      <c r="A186" s="8" t="s">
        <v>691</v>
      </c>
      <c r="B186" s="9">
        <v>24</v>
      </c>
      <c r="C186" s="9">
        <v>57</v>
      </c>
      <c r="D186" s="9" t="s">
        <v>588</v>
      </c>
      <c r="E186" s="9">
        <v>36</v>
      </c>
      <c r="F186" s="9" t="s">
        <v>692</v>
      </c>
      <c r="G186" s="10" t="s">
        <v>693</v>
      </c>
      <c r="H186" s="8" t="s">
        <v>26</v>
      </c>
      <c r="I186" s="12">
        <v>48000000</v>
      </c>
      <c r="J186" s="16" t="s">
        <v>91</v>
      </c>
      <c r="K186" s="9" t="s">
        <v>20</v>
      </c>
      <c r="L186" s="9" t="s">
        <v>694</v>
      </c>
      <c r="M186" s="5" t="str">
        <f>_xlfn.XLOOKUP(N186,enums!$C:$C,enums!$B:$B,"")</f>
        <v>经典赛车</v>
      </c>
      <c r="N186" s="6" t="s">
        <v>93</v>
      </c>
    </row>
    <row r="187" ht="49.5" spans="1:14">
      <c r="A187" s="8" t="s">
        <v>695</v>
      </c>
      <c r="B187" s="9">
        <v>24</v>
      </c>
      <c r="C187" s="9">
        <v>57</v>
      </c>
      <c r="D187" s="9" t="s">
        <v>588</v>
      </c>
      <c r="E187" s="9">
        <v>37</v>
      </c>
      <c r="F187" s="9" t="s">
        <v>696</v>
      </c>
      <c r="G187" s="10" t="s">
        <v>693</v>
      </c>
      <c r="H187" s="8" t="s">
        <v>697</v>
      </c>
      <c r="I187" s="12">
        <v>1400000</v>
      </c>
      <c r="J187" s="16" t="s">
        <v>91</v>
      </c>
      <c r="K187" s="9" t="s">
        <v>20</v>
      </c>
      <c r="L187" s="9" t="s">
        <v>698</v>
      </c>
      <c r="M187" s="5" t="str">
        <f>_xlfn.XLOOKUP(N187,enums!$C:$C,enums!$B:$B,"")</f>
        <v>稀有经典车</v>
      </c>
      <c r="N187" s="6" t="s">
        <v>102</v>
      </c>
    </row>
    <row r="188" ht="49.5" spans="1:14">
      <c r="A188" s="8" t="s">
        <v>699</v>
      </c>
      <c r="B188" s="9">
        <v>25</v>
      </c>
      <c r="C188" s="9">
        <v>59</v>
      </c>
      <c r="D188" s="9" t="s">
        <v>700</v>
      </c>
      <c r="E188" s="9">
        <v>1</v>
      </c>
      <c r="F188" s="9" t="s">
        <v>701</v>
      </c>
      <c r="G188" s="10" t="s">
        <v>285</v>
      </c>
      <c r="H188" s="8" t="s">
        <v>702</v>
      </c>
      <c r="I188" s="12">
        <v>59000</v>
      </c>
      <c r="J188" s="15" t="s">
        <v>46</v>
      </c>
      <c r="K188" s="9" t="s">
        <v>40</v>
      </c>
      <c r="L188" s="9" t="s">
        <v>703</v>
      </c>
      <c r="M188" s="5" t="str">
        <f>_xlfn.XLOOKUP(N188,enums!$C:$C,enums!$B:$B,"")</f>
        <v>现代肌肉车</v>
      </c>
      <c r="N188" s="6" t="s">
        <v>396</v>
      </c>
    </row>
    <row r="189" ht="33" spans="1:14">
      <c r="A189" s="8" t="s">
        <v>704</v>
      </c>
      <c r="B189" s="9">
        <v>25</v>
      </c>
      <c r="C189" s="9">
        <v>59</v>
      </c>
      <c r="D189" s="9" t="s">
        <v>700</v>
      </c>
      <c r="E189" s="9">
        <v>2</v>
      </c>
      <c r="F189" s="9" t="s">
        <v>705</v>
      </c>
      <c r="G189" s="10" t="s">
        <v>285</v>
      </c>
      <c r="H189" s="8" t="s">
        <v>26</v>
      </c>
      <c r="I189" s="12">
        <v>45000</v>
      </c>
      <c r="J189" s="15" t="s">
        <v>46</v>
      </c>
      <c r="K189" s="9" t="s">
        <v>40</v>
      </c>
      <c r="L189" s="9" t="s">
        <v>548</v>
      </c>
      <c r="M189" s="5" t="str">
        <f>_xlfn.XLOOKUP(N189,enums!$C:$C,enums!$B:$B,"")</f>
        <v>现代肌肉车</v>
      </c>
      <c r="N189" s="6" t="s">
        <v>396</v>
      </c>
    </row>
    <row r="190" ht="33" spans="1:14">
      <c r="A190" s="8" t="s">
        <v>706</v>
      </c>
      <c r="B190" s="9">
        <v>25</v>
      </c>
      <c r="C190" s="9">
        <v>59</v>
      </c>
      <c r="D190" s="9" t="s">
        <v>700</v>
      </c>
      <c r="E190" s="9">
        <v>3</v>
      </c>
      <c r="F190" s="9" t="s">
        <v>707</v>
      </c>
      <c r="G190" s="10" t="s">
        <v>37</v>
      </c>
      <c r="H190" s="8" t="s">
        <v>303</v>
      </c>
      <c r="I190" s="12">
        <v>50000</v>
      </c>
      <c r="J190" s="16" t="s">
        <v>91</v>
      </c>
      <c r="K190" s="9" t="s">
        <v>40</v>
      </c>
      <c r="L190" s="9" t="s">
        <v>708</v>
      </c>
      <c r="M190" s="5" t="str">
        <f>_xlfn.XLOOKUP(N190,enums!$C:$C,enums!$B:$B,"")</f>
        <v>皮卡和四轮驱动车</v>
      </c>
      <c r="N190" s="17" t="s">
        <v>430</v>
      </c>
    </row>
    <row r="191" ht="33" spans="1:14">
      <c r="A191" s="8" t="s">
        <v>709</v>
      </c>
      <c r="B191" s="9">
        <v>25</v>
      </c>
      <c r="C191" s="9">
        <v>59</v>
      </c>
      <c r="D191" s="9" t="s">
        <v>700</v>
      </c>
      <c r="E191" s="9">
        <v>4</v>
      </c>
      <c r="F191" s="9" t="s">
        <v>710</v>
      </c>
      <c r="G191" s="10" t="s">
        <v>37</v>
      </c>
      <c r="H191" s="8" t="s">
        <v>26</v>
      </c>
      <c r="I191" s="12">
        <v>110000</v>
      </c>
      <c r="J191" s="15" t="s">
        <v>46</v>
      </c>
      <c r="K191" s="9" t="s">
        <v>40</v>
      </c>
      <c r="L191" s="9" t="s">
        <v>711</v>
      </c>
      <c r="M191" s="5" t="str">
        <f>_xlfn.XLOOKUP(N191,enums!$C:$C,enums!$B:$B,"")</f>
        <v>皮卡和四轮驱动车</v>
      </c>
      <c r="N191" s="6" t="s">
        <v>430</v>
      </c>
    </row>
    <row r="192" ht="33" spans="1:14">
      <c r="A192" s="8" t="s">
        <v>712</v>
      </c>
      <c r="B192" s="9">
        <v>25</v>
      </c>
      <c r="C192" s="9">
        <v>59</v>
      </c>
      <c r="D192" s="9" t="s">
        <v>700</v>
      </c>
      <c r="E192" s="9">
        <v>5</v>
      </c>
      <c r="F192" s="9" t="s">
        <v>713</v>
      </c>
      <c r="G192" s="10" t="s">
        <v>37</v>
      </c>
      <c r="H192" s="8" t="s">
        <v>38</v>
      </c>
      <c r="I192" s="12">
        <v>26000</v>
      </c>
      <c r="J192" s="13" t="s">
        <v>19</v>
      </c>
      <c r="K192" s="9" t="s">
        <v>40</v>
      </c>
      <c r="L192" s="9" t="s">
        <v>714</v>
      </c>
      <c r="M192" s="5" t="str">
        <f>_xlfn.XLOOKUP(N192,enums!$C:$C,enums!$B:$B,"")</f>
        <v>高性能掀背车</v>
      </c>
      <c r="N192" s="6" t="s">
        <v>22</v>
      </c>
    </row>
    <row r="193" ht="33" spans="1:14">
      <c r="A193" s="8" t="s">
        <v>715</v>
      </c>
      <c r="B193" s="9">
        <v>25</v>
      </c>
      <c r="C193" s="9">
        <v>59</v>
      </c>
      <c r="D193" s="9" t="s">
        <v>700</v>
      </c>
      <c r="E193" s="9">
        <v>6</v>
      </c>
      <c r="F193" s="9" t="s">
        <v>716</v>
      </c>
      <c r="G193" s="10" t="s">
        <v>44</v>
      </c>
      <c r="H193" s="8" t="s">
        <v>717</v>
      </c>
      <c r="I193" s="12">
        <v>2000000</v>
      </c>
      <c r="J193" s="15" t="s">
        <v>46</v>
      </c>
      <c r="K193" s="9" t="s">
        <v>40</v>
      </c>
      <c r="L193" s="9" t="s">
        <v>718</v>
      </c>
      <c r="M193" s="5" t="str">
        <f>_xlfn.XLOOKUP(N193,enums!$C:$C,enums!$B:$B,"")</f>
        <v>极限赛道玩具</v>
      </c>
      <c r="N193" s="6" t="s">
        <v>127</v>
      </c>
    </row>
    <row r="194" ht="33" spans="1:14">
      <c r="A194" s="8" t="s">
        <v>719</v>
      </c>
      <c r="B194" s="9">
        <v>25</v>
      </c>
      <c r="C194" s="9">
        <v>59</v>
      </c>
      <c r="D194" s="9" t="s">
        <v>700</v>
      </c>
      <c r="E194" s="9">
        <v>7</v>
      </c>
      <c r="F194" s="9" t="s">
        <v>720</v>
      </c>
      <c r="G194" s="10" t="s">
        <v>44</v>
      </c>
      <c r="H194" s="8" t="s">
        <v>26</v>
      </c>
      <c r="I194" s="12">
        <v>34000</v>
      </c>
      <c r="J194" s="13" t="s">
        <v>19</v>
      </c>
      <c r="K194" s="9" t="s">
        <v>40</v>
      </c>
      <c r="L194" s="9" t="s">
        <v>721</v>
      </c>
      <c r="M194" s="5" t="str">
        <f>_xlfn.XLOOKUP(N194,enums!$C:$C,enums!$B:$B,"")</f>
        <v>高性能掀背车</v>
      </c>
      <c r="N194" s="6" t="s">
        <v>22</v>
      </c>
    </row>
    <row r="195" ht="33" spans="1:14">
      <c r="A195" s="8" t="s">
        <v>722</v>
      </c>
      <c r="B195" s="9">
        <v>25</v>
      </c>
      <c r="C195" s="9">
        <v>59</v>
      </c>
      <c r="D195" s="9" t="s">
        <v>700</v>
      </c>
      <c r="E195" s="9">
        <v>8</v>
      </c>
      <c r="F195" s="9" t="s">
        <v>723</v>
      </c>
      <c r="G195" s="10" t="s">
        <v>44</v>
      </c>
      <c r="H195" s="8" t="s">
        <v>124</v>
      </c>
      <c r="I195" s="12">
        <v>250000</v>
      </c>
      <c r="J195" s="15" t="s">
        <v>46</v>
      </c>
      <c r="K195" s="9" t="s">
        <v>40</v>
      </c>
      <c r="L195" s="9" t="s">
        <v>714</v>
      </c>
      <c r="M195" s="5" t="str">
        <f>_xlfn.XLOOKUP(N195,enums!$C:$C,enums!$B:$B,"")</f>
        <v>皮卡和四轮驱动车</v>
      </c>
      <c r="N195" s="6" t="s">
        <v>430</v>
      </c>
    </row>
    <row r="196" ht="33" spans="1:14">
      <c r="A196" s="8" t="s">
        <v>724</v>
      </c>
      <c r="B196" s="9">
        <v>25</v>
      </c>
      <c r="C196" s="9">
        <v>59</v>
      </c>
      <c r="D196" s="9" t="s">
        <v>700</v>
      </c>
      <c r="E196" s="9">
        <v>9</v>
      </c>
      <c r="F196" s="9" t="s">
        <v>725</v>
      </c>
      <c r="G196" s="10" t="s">
        <v>44</v>
      </c>
      <c r="H196" s="8" t="s">
        <v>26</v>
      </c>
      <c r="I196" s="12">
        <v>50000</v>
      </c>
      <c r="J196" s="15" t="s">
        <v>46</v>
      </c>
      <c r="K196" s="9" t="s">
        <v>40</v>
      </c>
      <c r="L196" s="9" t="s">
        <v>726</v>
      </c>
      <c r="M196" s="5" t="str">
        <f>_xlfn.XLOOKUP(N196,enums!$C:$C,enums!$B:$B,"")</f>
        <v>皮卡和四轮驱动车</v>
      </c>
      <c r="N196" s="6" t="s">
        <v>430</v>
      </c>
    </row>
    <row r="197" ht="33" spans="1:14">
      <c r="A197" s="8" t="s">
        <v>727</v>
      </c>
      <c r="B197" s="9">
        <v>25</v>
      </c>
      <c r="C197" s="9">
        <v>59</v>
      </c>
      <c r="D197" s="9" t="s">
        <v>700</v>
      </c>
      <c r="E197" s="9">
        <v>10</v>
      </c>
      <c r="F197" s="9" t="s">
        <v>728</v>
      </c>
      <c r="G197" s="10" t="s">
        <v>191</v>
      </c>
      <c r="H197" s="8" t="s">
        <v>26</v>
      </c>
      <c r="I197" s="12">
        <v>125000</v>
      </c>
      <c r="J197" s="14" t="s">
        <v>39</v>
      </c>
      <c r="K197" s="9" t="s">
        <v>40</v>
      </c>
      <c r="L197" s="9" t="s">
        <v>47</v>
      </c>
      <c r="M197" s="5" t="str">
        <f>_xlfn.XLOOKUP(N197,enums!$C:$C,enums!$B:$B,"")</f>
        <v>现代肌肉车</v>
      </c>
      <c r="N197" s="6" t="s">
        <v>396</v>
      </c>
    </row>
    <row r="198" ht="49.5" spans="1:14">
      <c r="A198" s="8" t="s">
        <v>729</v>
      </c>
      <c r="B198" s="9">
        <v>25</v>
      </c>
      <c r="C198" s="9">
        <v>59</v>
      </c>
      <c r="D198" s="9" t="s">
        <v>700</v>
      </c>
      <c r="E198" s="9">
        <v>11</v>
      </c>
      <c r="F198" s="9" t="s">
        <v>730</v>
      </c>
      <c r="G198" s="10" t="s">
        <v>191</v>
      </c>
      <c r="H198" s="8" t="s">
        <v>124</v>
      </c>
      <c r="I198" s="12">
        <v>500000</v>
      </c>
      <c r="J198" s="18" t="s">
        <v>290</v>
      </c>
      <c r="K198" s="9" t="s">
        <v>40</v>
      </c>
      <c r="L198" s="9" t="s">
        <v>291</v>
      </c>
      <c r="M198" s="5" t="str">
        <f>_xlfn.XLOOKUP(N198,enums!$C:$C,enums!$B:$B,"")</f>
        <v>皮卡和四轮驱动车</v>
      </c>
      <c r="N198" s="6" t="s">
        <v>430</v>
      </c>
    </row>
    <row r="199" ht="33" spans="1:14">
      <c r="A199" s="8" t="s">
        <v>731</v>
      </c>
      <c r="B199" s="9">
        <v>25</v>
      </c>
      <c r="C199" s="9">
        <v>59</v>
      </c>
      <c r="D199" s="9" t="s">
        <v>700</v>
      </c>
      <c r="E199" s="9">
        <v>12</v>
      </c>
      <c r="F199" s="9" t="s">
        <v>732</v>
      </c>
      <c r="G199" s="10" t="s">
        <v>191</v>
      </c>
      <c r="H199" s="8" t="s">
        <v>26</v>
      </c>
      <c r="I199" s="12">
        <v>450000</v>
      </c>
      <c r="J199" s="15" t="s">
        <v>46</v>
      </c>
      <c r="K199" s="9" t="s">
        <v>40</v>
      </c>
      <c r="L199" s="9" t="s">
        <v>733</v>
      </c>
      <c r="M199" s="5" t="str">
        <f>_xlfn.XLOOKUP(N199,enums!$C:$C,enums!$B:$B,"")</f>
        <v>越野车</v>
      </c>
      <c r="N199" s="17" t="s">
        <v>734</v>
      </c>
    </row>
    <row r="200" ht="33" spans="1:14">
      <c r="A200" s="8" t="s">
        <v>735</v>
      </c>
      <c r="B200" s="9">
        <v>25</v>
      </c>
      <c r="C200" s="9">
        <v>59</v>
      </c>
      <c r="D200" s="9" t="s">
        <v>700</v>
      </c>
      <c r="E200" s="9">
        <v>13</v>
      </c>
      <c r="F200" s="9" t="s">
        <v>736</v>
      </c>
      <c r="G200" s="10" t="s">
        <v>191</v>
      </c>
      <c r="H200" s="8" t="s">
        <v>26</v>
      </c>
      <c r="I200" s="12">
        <v>65000</v>
      </c>
      <c r="J200" s="13" t="s">
        <v>19</v>
      </c>
      <c r="K200" s="9" t="s">
        <v>40</v>
      </c>
      <c r="L200" s="9" t="s">
        <v>101</v>
      </c>
      <c r="M200" s="5" t="str">
        <f>_xlfn.XLOOKUP(N200,enums!$C:$C,enums!$B:$B,"")</f>
        <v>皮卡和四轮驱动车</v>
      </c>
      <c r="N200" s="6" t="s">
        <v>430</v>
      </c>
    </row>
    <row r="201" ht="33" spans="1:14">
      <c r="A201" s="8" t="s">
        <v>737</v>
      </c>
      <c r="B201" s="9">
        <v>25</v>
      </c>
      <c r="C201" s="9">
        <v>59</v>
      </c>
      <c r="D201" s="9" t="s">
        <v>700</v>
      </c>
      <c r="E201" s="9">
        <v>14</v>
      </c>
      <c r="F201" s="9" t="s">
        <v>738</v>
      </c>
      <c r="G201" s="10" t="s">
        <v>198</v>
      </c>
      <c r="H201" s="8" t="s">
        <v>26</v>
      </c>
      <c r="I201" s="12">
        <v>35000</v>
      </c>
      <c r="J201" s="14" t="s">
        <v>39</v>
      </c>
      <c r="K201" s="9" t="s">
        <v>40</v>
      </c>
      <c r="L201" s="9" t="s">
        <v>401</v>
      </c>
      <c r="M201" s="5" t="str">
        <f>_xlfn.XLOOKUP(N201,enums!$C:$C,enums!$B:$B,"")</f>
        <v>现代肌肉车</v>
      </c>
      <c r="N201" s="6" t="s">
        <v>396</v>
      </c>
    </row>
    <row r="202" ht="49.5" spans="1:14">
      <c r="A202" s="8" t="s">
        <v>739</v>
      </c>
      <c r="B202" s="9">
        <v>25</v>
      </c>
      <c r="C202" s="9">
        <v>59</v>
      </c>
      <c r="D202" s="9" t="s">
        <v>700</v>
      </c>
      <c r="E202" s="9">
        <v>15</v>
      </c>
      <c r="F202" s="9" t="s">
        <v>740</v>
      </c>
      <c r="G202" s="10" t="s">
        <v>67</v>
      </c>
      <c r="H202" s="8" t="s">
        <v>741</v>
      </c>
      <c r="I202" s="12">
        <v>150000</v>
      </c>
      <c r="J202" s="15" t="s">
        <v>46</v>
      </c>
      <c r="K202" s="9" t="s">
        <v>40</v>
      </c>
      <c r="L202" s="9" t="s">
        <v>626</v>
      </c>
      <c r="M202" s="5" t="str">
        <f>_xlfn.XLOOKUP(N202,enums!$C:$C,enums!$B:$B,"")</f>
        <v>拉力赛怪物</v>
      </c>
      <c r="N202" s="17" t="s">
        <v>251</v>
      </c>
    </row>
    <row r="203" ht="33" spans="1:14">
      <c r="A203" s="8" t="s">
        <v>742</v>
      </c>
      <c r="B203" s="9">
        <v>25</v>
      </c>
      <c r="C203" s="9">
        <v>59</v>
      </c>
      <c r="D203" s="9" t="s">
        <v>700</v>
      </c>
      <c r="E203" s="9">
        <v>16</v>
      </c>
      <c r="F203" s="9" t="s">
        <v>743</v>
      </c>
      <c r="G203" s="10" t="s">
        <v>67</v>
      </c>
      <c r="H203" s="8" t="s">
        <v>26</v>
      </c>
      <c r="I203" s="12">
        <v>500000</v>
      </c>
      <c r="J203" s="15" t="s">
        <v>46</v>
      </c>
      <c r="K203" s="9" t="s">
        <v>40</v>
      </c>
      <c r="L203" s="9" t="s">
        <v>744</v>
      </c>
      <c r="M203" s="5" t="str">
        <f>_xlfn.XLOOKUP(N203,enums!$C:$C,enums!$B:$B,"")</f>
        <v>现代超级跑车</v>
      </c>
      <c r="N203" s="6" t="s">
        <v>48</v>
      </c>
    </row>
    <row r="204" ht="33" spans="1:14">
      <c r="A204" s="8" t="s">
        <v>745</v>
      </c>
      <c r="B204" s="9">
        <v>25</v>
      </c>
      <c r="C204" s="9">
        <v>59</v>
      </c>
      <c r="D204" s="9" t="s">
        <v>700</v>
      </c>
      <c r="E204" s="9">
        <v>17</v>
      </c>
      <c r="F204" s="9" t="s">
        <v>746</v>
      </c>
      <c r="G204" s="10" t="s">
        <v>67</v>
      </c>
      <c r="H204" s="8" t="s">
        <v>26</v>
      </c>
      <c r="I204" s="12">
        <v>250000</v>
      </c>
      <c r="J204" s="15" t="s">
        <v>46</v>
      </c>
      <c r="K204" s="9" t="s">
        <v>40</v>
      </c>
      <c r="L204" s="9" t="s">
        <v>533</v>
      </c>
      <c r="M204" s="5" t="str">
        <f>_xlfn.XLOOKUP(N204,enums!$C:$C,enums!$B:$B,"")</f>
        <v>拉力赛怪物</v>
      </c>
      <c r="N204" s="6" t="s">
        <v>251</v>
      </c>
    </row>
    <row r="205" ht="49.5" spans="1:14">
      <c r="A205" s="8" t="s">
        <v>747</v>
      </c>
      <c r="B205" s="9">
        <v>25</v>
      </c>
      <c r="C205" s="9">
        <v>59</v>
      </c>
      <c r="D205" s="9" t="s">
        <v>700</v>
      </c>
      <c r="E205" s="9">
        <v>18</v>
      </c>
      <c r="F205" s="9" t="s">
        <v>748</v>
      </c>
      <c r="G205" s="10" t="s">
        <v>67</v>
      </c>
      <c r="H205" s="8" t="s">
        <v>749</v>
      </c>
      <c r="I205" s="12">
        <v>75000</v>
      </c>
      <c r="J205" s="15" t="s">
        <v>46</v>
      </c>
      <c r="K205" s="9" t="s">
        <v>40</v>
      </c>
      <c r="L205" s="9" t="s">
        <v>73</v>
      </c>
      <c r="M205" s="5" t="str">
        <f>_xlfn.XLOOKUP(N205,enums!$C:$C,enums!$B:$B,"")</f>
        <v>无限制越野车</v>
      </c>
      <c r="N205" s="6" t="s">
        <v>107</v>
      </c>
    </row>
    <row r="206" ht="49.5" spans="1:14">
      <c r="A206" s="8" t="s">
        <v>750</v>
      </c>
      <c r="B206" s="9">
        <v>25</v>
      </c>
      <c r="C206" s="9">
        <v>59</v>
      </c>
      <c r="D206" s="9" t="s">
        <v>700</v>
      </c>
      <c r="E206" s="9">
        <v>19</v>
      </c>
      <c r="F206" s="9" t="s">
        <v>751</v>
      </c>
      <c r="G206" s="10" t="s">
        <v>67</v>
      </c>
      <c r="H206" s="8" t="s">
        <v>752</v>
      </c>
      <c r="I206" s="12">
        <v>37000</v>
      </c>
      <c r="J206" s="15" t="s">
        <v>46</v>
      </c>
      <c r="K206" s="9" t="s">
        <v>40</v>
      </c>
      <c r="L206" s="9" t="s">
        <v>668</v>
      </c>
      <c r="M206" s="5" t="str">
        <f>_xlfn.XLOOKUP(N206,enums!$C:$C,enums!$B:$B,"")</f>
        <v>超高性能掀背车</v>
      </c>
      <c r="N206" s="6" t="s">
        <v>226</v>
      </c>
    </row>
    <row r="207" ht="33" spans="1:14">
      <c r="A207" s="8" t="s">
        <v>753</v>
      </c>
      <c r="B207" s="9">
        <v>25</v>
      </c>
      <c r="C207" s="9">
        <v>59</v>
      </c>
      <c r="D207" s="9" t="s">
        <v>700</v>
      </c>
      <c r="E207" s="9">
        <v>20</v>
      </c>
      <c r="F207" s="9" t="s">
        <v>754</v>
      </c>
      <c r="G207" s="10" t="s">
        <v>17</v>
      </c>
      <c r="H207" s="8" t="s">
        <v>26</v>
      </c>
      <c r="I207" s="12">
        <v>88000</v>
      </c>
      <c r="J207" s="14" t="s">
        <v>39</v>
      </c>
      <c r="K207" s="9" t="s">
        <v>40</v>
      </c>
      <c r="L207" s="9" t="s">
        <v>650</v>
      </c>
      <c r="M207" s="5" t="str">
        <f>_xlfn.XLOOKUP(N207,enums!$C:$C,enums!$B:$B,"")</f>
        <v>赛道玩具</v>
      </c>
      <c r="N207" s="6" t="s">
        <v>273</v>
      </c>
    </row>
    <row r="208" ht="33" spans="1:14">
      <c r="A208" s="8" t="s">
        <v>755</v>
      </c>
      <c r="B208" s="9">
        <v>25</v>
      </c>
      <c r="C208" s="9">
        <v>59</v>
      </c>
      <c r="D208" s="9" t="s">
        <v>700</v>
      </c>
      <c r="E208" s="9">
        <v>21</v>
      </c>
      <c r="F208" s="9" t="s">
        <v>756</v>
      </c>
      <c r="G208" s="10" t="s">
        <v>71</v>
      </c>
      <c r="H208" s="8" t="s">
        <v>26</v>
      </c>
      <c r="I208" s="12">
        <v>450000</v>
      </c>
      <c r="J208" s="15" t="s">
        <v>46</v>
      </c>
      <c r="K208" s="9" t="s">
        <v>40</v>
      </c>
      <c r="L208" s="9" t="s">
        <v>222</v>
      </c>
      <c r="M208" s="5" t="str">
        <f>_xlfn.XLOOKUP(N208,enums!$C:$C,enums!$B:$B,"")</f>
        <v>无限制越野车</v>
      </c>
      <c r="N208" s="6" t="s">
        <v>107</v>
      </c>
    </row>
    <row r="209" ht="33" spans="1:14">
      <c r="A209" s="8" t="s">
        <v>757</v>
      </c>
      <c r="B209" s="9">
        <v>25</v>
      </c>
      <c r="C209" s="9">
        <v>59</v>
      </c>
      <c r="D209" s="9" t="s">
        <v>700</v>
      </c>
      <c r="E209" s="9">
        <v>22</v>
      </c>
      <c r="F209" s="9" t="s">
        <v>758</v>
      </c>
      <c r="G209" s="10" t="s">
        <v>71</v>
      </c>
      <c r="H209" s="8" t="s">
        <v>26</v>
      </c>
      <c r="I209" s="12">
        <v>40000</v>
      </c>
      <c r="J209" s="13" t="s">
        <v>19</v>
      </c>
      <c r="K209" s="9" t="s">
        <v>40</v>
      </c>
      <c r="L209" s="9" t="s">
        <v>759</v>
      </c>
      <c r="M209" s="5" t="str">
        <f>_xlfn.XLOOKUP(N209,enums!$C:$C,enums!$B:$B,"")</f>
        <v>多功能英雄车</v>
      </c>
      <c r="N209" s="6" t="s">
        <v>478</v>
      </c>
    </row>
    <row r="210" ht="33" spans="1:14">
      <c r="A210" s="8" t="s">
        <v>760</v>
      </c>
      <c r="B210" s="9">
        <v>25</v>
      </c>
      <c r="C210" s="9">
        <v>59</v>
      </c>
      <c r="D210" s="9" t="s">
        <v>700</v>
      </c>
      <c r="E210" s="9">
        <v>23</v>
      </c>
      <c r="F210" s="9" t="s">
        <v>761</v>
      </c>
      <c r="G210" s="10" t="s">
        <v>71</v>
      </c>
      <c r="H210" s="8" t="s">
        <v>124</v>
      </c>
      <c r="I210" s="12">
        <v>350000</v>
      </c>
      <c r="J210" s="15" t="s">
        <v>46</v>
      </c>
      <c r="K210" s="9" t="s">
        <v>40</v>
      </c>
      <c r="L210" s="9" t="s">
        <v>762</v>
      </c>
      <c r="M210" s="5" t="str">
        <f>_xlfn.XLOOKUP(N210,enums!$C:$C,enums!$B:$B,"")</f>
        <v>越野车</v>
      </c>
      <c r="N210" s="6" t="s">
        <v>734</v>
      </c>
    </row>
    <row r="211" ht="33" spans="1:14">
      <c r="A211" s="8" t="s">
        <v>763</v>
      </c>
      <c r="B211" s="9">
        <v>25</v>
      </c>
      <c r="C211" s="9">
        <v>59</v>
      </c>
      <c r="D211" s="9" t="s">
        <v>700</v>
      </c>
      <c r="E211" s="9">
        <v>24</v>
      </c>
      <c r="F211" s="9" t="s">
        <v>764</v>
      </c>
      <c r="G211" s="10" t="s">
        <v>136</v>
      </c>
      <c r="H211" s="8" t="s">
        <v>38</v>
      </c>
      <c r="I211" s="12">
        <v>60000</v>
      </c>
      <c r="J211" s="14" t="s">
        <v>39</v>
      </c>
      <c r="K211" s="9" t="s">
        <v>40</v>
      </c>
      <c r="L211" s="9" t="s">
        <v>294</v>
      </c>
      <c r="M211" s="5" t="str">
        <f>_xlfn.XLOOKUP(N211,enums!$C:$C,enums!$B:$B,"")</f>
        <v>现代肌肉车</v>
      </c>
      <c r="N211" s="6" t="s">
        <v>396</v>
      </c>
    </row>
    <row r="212" ht="33" spans="1:14">
      <c r="A212" s="8" t="s">
        <v>765</v>
      </c>
      <c r="B212" s="9">
        <v>25</v>
      </c>
      <c r="C212" s="9">
        <v>59</v>
      </c>
      <c r="D212" s="9" t="s">
        <v>700</v>
      </c>
      <c r="E212" s="9">
        <v>25</v>
      </c>
      <c r="F212" s="9" t="s">
        <v>766</v>
      </c>
      <c r="G212" s="10" t="s">
        <v>221</v>
      </c>
      <c r="H212" s="8" t="s">
        <v>26</v>
      </c>
      <c r="I212" s="12">
        <v>42000</v>
      </c>
      <c r="J212" s="14" t="s">
        <v>39</v>
      </c>
      <c r="K212" s="9" t="s">
        <v>40</v>
      </c>
      <c r="L212" s="9" t="s">
        <v>767</v>
      </c>
      <c r="M212" s="5" t="str">
        <f>_xlfn.XLOOKUP(N212,enums!$C:$C,enums!$B:$B,"")</f>
        <v>多功能英雄车</v>
      </c>
      <c r="N212" s="6" t="s">
        <v>478</v>
      </c>
    </row>
    <row r="213" ht="33" spans="1:14">
      <c r="A213" s="8" t="s">
        <v>768</v>
      </c>
      <c r="B213" s="9">
        <v>25</v>
      </c>
      <c r="C213" s="9">
        <v>59</v>
      </c>
      <c r="D213" s="9" t="s">
        <v>700</v>
      </c>
      <c r="E213" s="9">
        <v>26</v>
      </c>
      <c r="F213" s="9" t="s">
        <v>769</v>
      </c>
      <c r="G213" s="10" t="s">
        <v>229</v>
      </c>
      <c r="H213" s="8" t="s">
        <v>26</v>
      </c>
      <c r="I213" s="12">
        <v>15000</v>
      </c>
      <c r="J213" s="13" t="s">
        <v>19</v>
      </c>
      <c r="K213" s="9" t="s">
        <v>40</v>
      </c>
      <c r="L213" s="9" t="s">
        <v>770</v>
      </c>
      <c r="M213" s="5" t="str">
        <f>_xlfn.XLOOKUP(N213,enums!$C:$C,enums!$B:$B,"")</f>
        <v>复古肌肉车</v>
      </c>
      <c r="N213" s="6" t="s">
        <v>391</v>
      </c>
    </row>
    <row r="214" ht="33" spans="1:14">
      <c r="A214" s="8" t="s">
        <v>771</v>
      </c>
      <c r="B214" s="9">
        <v>25</v>
      </c>
      <c r="C214" s="9">
        <v>59</v>
      </c>
      <c r="D214" s="9" t="s">
        <v>700</v>
      </c>
      <c r="E214" s="9">
        <v>27</v>
      </c>
      <c r="F214" s="9" t="s">
        <v>772</v>
      </c>
      <c r="G214" s="10" t="s">
        <v>232</v>
      </c>
      <c r="H214" s="8" t="s">
        <v>72</v>
      </c>
      <c r="I214" s="12">
        <v>52000</v>
      </c>
      <c r="J214" s="15" t="s">
        <v>46</v>
      </c>
      <c r="K214" s="9" t="s">
        <v>40</v>
      </c>
      <c r="L214" s="9" t="s">
        <v>773</v>
      </c>
      <c r="M214" s="5" t="str">
        <f>_xlfn.XLOOKUP(N214,enums!$C:$C,enums!$B:$B,"")</f>
        <v>超高性能掀背车</v>
      </c>
      <c r="N214" s="6" t="s">
        <v>226</v>
      </c>
    </row>
    <row r="215" ht="33" spans="1:14">
      <c r="A215" s="8" t="s">
        <v>774</v>
      </c>
      <c r="B215" s="9">
        <v>25</v>
      </c>
      <c r="C215" s="9">
        <v>59</v>
      </c>
      <c r="D215" s="9" t="s">
        <v>700</v>
      </c>
      <c r="E215" s="9">
        <v>28</v>
      </c>
      <c r="F215" s="9" t="s">
        <v>775</v>
      </c>
      <c r="G215" s="10" t="s">
        <v>348</v>
      </c>
      <c r="H215" s="8" t="s">
        <v>776</v>
      </c>
      <c r="I215" s="12">
        <v>585000</v>
      </c>
      <c r="J215" s="9" t="s">
        <v>376</v>
      </c>
      <c r="K215" s="9" t="s">
        <v>40</v>
      </c>
      <c r="L215" s="9" t="s">
        <v>777</v>
      </c>
      <c r="M215" s="5" t="str">
        <f>_xlfn.XLOOKUP(N215,enums!$C:$C,enums!$B:$B,"")</f>
        <v>复古超级轿车</v>
      </c>
      <c r="N215" s="6" t="s">
        <v>378</v>
      </c>
    </row>
    <row r="216" ht="33" spans="1:14">
      <c r="A216" s="8" t="s">
        <v>778</v>
      </c>
      <c r="B216" s="9">
        <v>25</v>
      </c>
      <c r="C216" s="9">
        <v>59</v>
      </c>
      <c r="D216" s="9" t="s">
        <v>700</v>
      </c>
      <c r="E216" s="9">
        <v>29</v>
      </c>
      <c r="F216" s="9" t="s">
        <v>779</v>
      </c>
      <c r="G216" s="10" t="s">
        <v>242</v>
      </c>
      <c r="H216" s="8" t="s">
        <v>26</v>
      </c>
      <c r="I216" s="12">
        <v>35000</v>
      </c>
      <c r="J216" s="13" t="s">
        <v>19</v>
      </c>
      <c r="K216" s="9" t="s">
        <v>40</v>
      </c>
      <c r="L216" s="9" t="s">
        <v>41</v>
      </c>
      <c r="M216" s="5" t="str">
        <f>_xlfn.XLOOKUP(N216,enums!$C:$C,enums!$B:$B,"")</f>
        <v>复古高性能掀背车</v>
      </c>
      <c r="N216" s="6" t="s">
        <v>53</v>
      </c>
    </row>
    <row r="217" ht="33" spans="1:14">
      <c r="A217" s="8" t="s">
        <v>780</v>
      </c>
      <c r="B217" s="9">
        <v>25</v>
      </c>
      <c r="C217" s="9">
        <v>59</v>
      </c>
      <c r="D217" s="9" t="s">
        <v>700</v>
      </c>
      <c r="E217" s="9">
        <v>30</v>
      </c>
      <c r="F217" s="9" t="s">
        <v>781</v>
      </c>
      <c r="G217" s="10" t="s">
        <v>242</v>
      </c>
      <c r="H217" s="8" t="s">
        <v>18</v>
      </c>
      <c r="I217" s="12">
        <v>250000</v>
      </c>
      <c r="J217" s="13" t="s">
        <v>19</v>
      </c>
      <c r="K217" s="9" t="s">
        <v>40</v>
      </c>
      <c r="L217" s="9" t="s">
        <v>368</v>
      </c>
      <c r="M217" s="5" t="str">
        <f>_xlfn.XLOOKUP(N217,enums!$C:$C,enums!$B:$B,"")</f>
        <v>皮卡和四轮驱动车</v>
      </c>
      <c r="N217" s="6" t="s">
        <v>430</v>
      </c>
    </row>
    <row r="218" ht="33" spans="1:14">
      <c r="A218" s="8" t="s">
        <v>782</v>
      </c>
      <c r="B218" s="9">
        <v>25</v>
      </c>
      <c r="C218" s="9">
        <v>59</v>
      </c>
      <c r="D218" s="9" t="s">
        <v>700</v>
      </c>
      <c r="E218" s="9">
        <v>31</v>
      </c>
      <c r="F218" s="9" t="s">
        <v>783</v>
      </c>
      <c r="G218" s="10" t="s">
        <v>56</v>
      </c>
      <c r="H218" s="8" t="s">
        <v>26</v>
      </c>
      <c r="I218" s="12">
        <v>415000</v>
      </c>
      <c r="J218" s="14" t="s">
        <v>39</v>
      </c>
      <c r="K218" s="9" t="s">
        <v>40</v>
      </c>
      <c r="L218" s="9" t="s">
        <v>784</v>
      </c>
      <c r="M218" s="5" t="str">
        <f>_xlfn.XLOOKUP(N218,enums!$C:$C,enums!$B:$B,"")</f>
        <v>拉力赛怪物</v>
      </c>
      <c r="N218" s="17" t="s">
        <v>251</v>
      </c>
    </row>
    <row r="219" ht="33" spans="1:14">
      <c r="A219" s="8" t="s">
        <v>785</v>
      </c>
      <c r="B219" s="9">
        <v>25</v>
      </c>
      <c r="C219" s="9">
        <v>59</v>
      </c>
      <c r="D219" s="9" t="s">
        <v>700</v>
      </c>
      <c r="E219" s="9">
        <v>32</v>
      </c>
      <c r="F219" s="9" t="s">
        <v>786</v>
      </c>
      <c r="G219" s="10" t="s">
        <v>787</v>
      </c>
      <c r="H219" s="8" t="s">
        <v>26</v>
      </c>
      <c r="I219" s="12">
        <v>153000</v>
      </c>
      <c r="J219" s="13" t="s">
        <v>19</v>
      </c>
      <c r="K219" s="9" t="s">
        <v>40</v>
      </c>
      <c r="L219" s="9" t="s">
        <v>788</v>
      </c>
      <c r="M219" s="5" t="str">
        <f>_xlfn.XLOOKUP(N219,enums!$C:$C,enums!$B:$B,"")</f>
        <v>复古肌肉车</v>
      </c>
      <c r="N219" s="6" t="s">
        <v>391</v>
      </c>
    </row>
    <row r="220" ht="33" spans="1:14">
      <c r="A220" s="8" t="s">
        <v>789</v>
      </c>
      <c r="B220" s="9">
        <v>25</v>
      </c>
      <c r="C220" s="9">
        <v>59</v>
      </c>
      <c r="D220" s="9" t="s">
        <v>700</v>
      </c>
      <c r="E220" s="9">
        <v>33</v>
      </c>
      <c r="F220" s="9" t="s">
        <v>790</v>
      </c>
      <c r="G220" s="10" t="s">
        <v>568</v>
      </c>
      <c r="H220" s="8" t="s">
        <v>26</v>
      </c>
      <c r="I220" s="12">
        <v>30000</v>
      </c>
      <c r="J220" s="14" t="s">
        <v>39</v>
      </c>
      <c r="K220" s="9" t="s">
        <v>40</v>
      </c>
      <c r="L220" s="9" t="s">
        <v>791</v>
      </c>
      <c r="M220" s="5" t="str">
        <f>_xlfn.XLOOKUP(N220,enums!$C:$C,enums!$B:$B,"")</f>
        <v>复古拉力赛车</v>
      </c>
      <c r="N220" s="6" t="s">
        <v>256</v>
      </c>
    </row>
    <row r="221" ht="33" spans="1:14">
      <c r="A221" s="8" t="s">
        <v>792</v>
      </c>
      <c r="B221" s="9">
        <v>25</v>
      </c>
      <c r="C221" s="9">
        <v>59</v>
      </c>
      <c r="D221" s="9" t="s">
        <v>700</v>
      </c>
      <c r="E221" s="9">
        <v>34</v>
      </c>
      <c r="F221" s="9" t="s">
        <v>793</v>
      </c>
      <c r="G221" s="10" t="s">
        <v>667</v>
      </c>
      <c r="H221" s="8" t="s">
        <v>26</v>
      </c>
      <c r="I221" s="12">
        <v>250000</v>
      </c>
      <c r="J221" s="15" t="s">
        <v>46</v>
      </c>
      <c r="K221" s="9" t="s">
        <v>40</v>
      </c>
      <c r="L221" s="9" t="s">
        <v>794</v>
      </c>
      <c r="M221" s="5" t="str">
        <f>_xlfn.XLOOKUP(N221,enums!$C:$C,enums!$B:$B,"")</f>
        <v>赛道玩具</v>
      </c>
      <c r="N221" s="6" t="s">
        <v>273</v>
      </c>
    </row>
    <row r="222" ht="33" spans="1:14">
      <c r="A222" s="8" t="s">
        <v>795</v>
      </c>
      <c r="B222" s="9">
        <v>25</v>
      </c>
      <c r="C222" s="9">
        <v>59</v>
      </c>
      <c r="D222" s="9" t="s">
        <v>700</v>
      </c>
      <c r="E222" s="9">
        <v>35</v>
      </c>
      <c r="F222" s="9" t="s">
        <v>796</v>
      </c>
      <c r="G222" s="10" t="s">
        <v>265</v>
      </c>
      <c r="H222" s="8" t="s">
        <v>26</v>
      </c>
      <c r="I222" s="12">
        <v>84000</v>
      </c>
      <c r="J222" s="13" t="s">
        <v>19</v>
      </c>
      <c r="K222" s="9" t="s">
        <v>40</v>
      </c>
      <c r="L222" s="9" t="s">
        <v>797</v>
      </c>
      <c r="M222" s="5" t="str">
        <f>_xlfn.XLOOKUP(N222,enums!$C:$C,enums!$B:$B,"")</f>
        <v>复古肌肉车</v>
      </c>
      <c r="N222" s="6" t="s">
        <v>391</v>
      </c>
    </row>
    <row r="223" ht="33" spans="1:14">
      <c r="A223" s="8" t="s">
        <v>798</v>
      </c>
      <c r="B223" s="9">
        <v>25</v>
      </c>
      <c r="C223" s="9">
        <v>59</v>
      </c>
      <c r="D223" s="9" t="s">
        <v>700</v>
      </c>
      <c r="E223" s="9">
        <v>36</v>
      </c>
      <c r="F223" s="9" t="s">
        <v>799</v>
      </c>
      <c r="G223" s="10" t="s">
        <v>82</v>
      </c>
      <c r="H223" s="8" t="s">
        <v>38</v>
      </c>
      <c r="I223" s="12">
        <v>65000</v>
      </c>
      <c r="J223" s="14" t="s">
        <v>39</v>
      </c>
      <c r="K223" s="9" t="s">
        <v>40</v>
      </c>
      <c r="L223" s="9" t="s">
        <v>800</v>
      </c>
      <c r="M223" s="5" t="str">
        <f>_xlfn.XLOOKUP(N223,enums!$C:$C,enums!$B:$B,"")</f>
        <v>复古拉力赛车</v>
      </c>
      <c r="N223" s="6" t="s">
        <v>256</v>
      </c>
    </row>
    <row r="224" ht="33" spans="1:14">
      <c r="A224" s="8" t="s">
        <v>801</v>
      </c>
      <c r="B224" s="9">
        <v>25</v>
      </c>
      <c r="C224" s="9">
        <v>59</v>
      </c>
      <c r="D224" s="9" t="s">
        <v>700</v>
      </c>
      <c r="E224" s="9">
        <v>37</v>
      </c>
      <c r="F224" s="9" t="s">
        <v>802</v>
      </c>
      <c r="G224" s="10" t="s">
        <v>389</v>
      </c>
      <c r="H224" s="8" t="s">
        <v>803</v>
      </c>
      <c r="I224" s="12">
        <v>79000</v>
      </c>
      <c r="J224" s="9" t="s">
        <v>804</v>
      </c>
      <c r="K224" s="9" t="s">
        <v>40</v>
      </c>
      <c r="L224" s="9" t="s">
        <v>41</v>
      </c>
      <c r="M224" s="5" t="str">
        <f>_xlfn.XLOOKUP(N224,enums!$C:$C,enums!$B:$B,"")</f>
        <v>复古超级跑车</v>
      </c>
      <c r="N224" s="6" t="s">
        <v>84</v>
      </c>
    </row>
    <row r="225" ht="33" spans="1:14">
      <c r="A225" s="8" t="s">
        <v>805</v>
      </c>
      <c r="B225" s="9">
        <v>25</v>
      </c>
      <c r="C225" s="9">
        <v>59</v>
      </c>
      <c r="D225" s="9" t="s">
        <v>700</v>
      </c>
      <c r="E225" s="9">
        <v>38</v>
      </c>
      <c r="F225" s="9" t="s">
        <v>806</v>
      </c>
      <c r="G225" s="10" t="s">
        <v>249</v>
      </c>
      <c r="H225" s="8" t="s">
        <v>124</v>
      </c>
      <c r="I225" s="12">
        <v>500000</v>
      </c>
      <c r="J225" s="18" t="s">
        <v>290</v>
      </c>
      <c r="K225" s="9" t="s">
        <v>40</v>
      </c>
      <c r="L225" s="9" t="s">
        <v>807</v>
      </c>
      <c r="M225" s="5" t="str">
        <f>_xlfn.XLOOKUP(N225,enums!$C:$C,enums!$B:$B,"")</f>
        <v>漂移赛车</v>
      </c>
      <c r="N225" s="6" t="s">
        <v>527</v>
      </c>
    </row>
    <row r="226" ht="33" spans="1:14">
      <c r="A226" s="8" t="s">
        <v>808</v>
      </c>
      <c r="B226" s="9">
        <v>25</v>
      </c>
      <c r="C226" s="9">
        <v>59</v>
      </c>
      <c r="D226" s="9" t="s">
        <v>700</v>
      </c>
      <c r="E226" s="9">
        <v>39</v>
      </c>
      <c r="F226" s="9" t="s">
        <v>809</v>
      </c>
      <c r="G226" s="10" t="s">
        <v>249</v>
      </c>
      <c r="H226" s="8" t="s">
        <v>26</v>
      </c>
      <c r="I226" s="12">
        <v>45000</v>
      </c>
      <c r="J226" s="13" t="s">
        <v>19</v>
      </c>
      <c r="K226" s="9" t="s">
        <v>40</v>
      </c>
      <c r="L226" s="9" t="s">
        <v>810</v>
      </c>
      <c r="M226" s="5" t="str">
        <f>_xlfn.XLOOKUP(N226,enums!$C:$C,enums!$B:$B,"")</f>
        <v>皮卡和四轮驱动车</v>
      </c>
      <c r="N226" s="6" t="s">
        <v>430</v>
      </c>
    </row>
    <row r="227" ht="33" spans="1:14">
      <c r="A227" s="8" t="s">
        <v>811</v>
      </c>
      <c r="B227" s="9">
        <v>25</v>
      </c>
      <c r="C227" s="9">
        <v>59</v>
      </c>
      <c r="D227" s="9" t="s">
        <v>700</v>
      </c>
      <c r="E227" s="9">
        <v>40</v>
      </c>
      <c r="F227" s="9" t="s">
        <v>812</v>
      </c>
      <c r="G227" s="10" t="s">
        <v>813</v>
      </c>
      <c r="H227" s="8" t="s">
        <v>814</v>
      </c>
      <c r="I227" s="12">
        <v>420000</v>
      </c>
      <c r="J227" s="15" t="s">
        <v>46</v>
      </c>
      <c r="K227" s="9" t="s">
        <v>40</v>
      </c>
      <c r="L227" s="9" t="s">
        <v>815</v>
      </c>
      <c r="M227" s="5" t="str">
        <f>_xlfn.XLOOKUP(N227,enums!$C:$C,enums!$B:$B,"")</f>
        <v>拉力赛怪物</v>
      </c>
      <c r="N227" s="6" t="s">
        <v>251</v>
      </c>
    </row>
    <row r="228" ht="33" spans="1:14">
      <c r="A228" s="8" t="s">
        <v>816</v>
      </c>
      <c r="B228" s="9">
        <v>25</v>
      </c>
      <c r="C228" s="9">
        <v>59</v>
      </c>
      <c r="D228" s="9" t="s">
        <v>700</v>
      </c>
      <c r="E228" s="9">
        <v>41</v>
      </c>
      <c r="F228" s="9" t="s">
        <v>817</v>
      </c>
      <c r="G228" s="10" t="s">
        <v>818</v>
      </c>
      <c r="H228" s="8" t="s">
        <v>26</v>
      </c>
      <c r="I228" s="12">
        <v>185000</v>
      </c>
      <c r="J228" s="15" t="s">
        <v>46</v>
      </c>
      <c r="K228" s="9" t="s">
        <v>40</v>
      </c>
      <c r="L228" s="9" t="s">
        <v>246</v>
      </c>
      <c r="M228" s="5" t="str">
        <f>_xlfn.XLOOKUP(N228,enums!$C:$C,enums!$B:$B,"")</f>
        <v>经典拉力赛车</v>
      </c>
      <c r="N228" s="6" t="s">
        <v>28</v>
      </c>
    </row>
    <row r="229" ht="33" spans="1:14">
      <c r="A229" s="8" t="s">
        <v>819</v>
      </c>
      <c r="B229" s="9">
        <v>25</v>
      </c>
      <c r="C229" s="9">
        <v>59</v>
      </c>
      <c r="D229" s="9" t="s">
        <v>700</v>
      </c>
      <c r="E229" s="9">
        <v>42</v>
      </c>
      <c r="F229" s="9" t="s">
        <v>820</v>
      </c>
      <c r="G229" s="10" t="s">
        <v>381</v>
      </c>
      <c r="H229" s="8" t="s">
        <v>26</v>
      </c>
      <c r="I229" s="12">
        <v>218000</v>
      </c>
      <c r="J229" s="14" t="s">
        <v>39</v>
      </c>
      <c r="K229" s="9" t="s">
        <v>40</v>
      </c>
      <c r="L229" s="9" t="s">
        <v>821</v>
      </c>
      <c r="M229" s="5" t="str">
        <f>_xlfn.XLOOKUP(N229,enums!$C:$C,enums!$B:$B,"")</f>
        <v>经典肌肉车</v>
      </c>
      <c r="N229" s="6" t="s">
        <v>466</v>
      </c>
    </row>
    <row r="230" ht="33" spans="1:14">
      <c r="A230" s="8" t="s">
        <v>822</v>
      </c>
      <c r="B230" s="9">
        <v>25</v>
      </c>
      <c r="C230" s="9">
        <v>59</v>
      </c>
      <c r="D230" s="9" t="s">
        <v>700</v>
      </c>
      <c r="E230" s="9">
        <v>43</v>
      </c>
      <c r="F230" s="9" t="s">
        <v>823</v>
      </c>
      <c r="G230" s="10" t="s">
        <v>381</v>
      </c>
      <c r="H230" s="8" t="s">
        <v>26</v>
      </c>
      <c r="I230" s="12">
        <v>69000</v>
      </c>
      <c r="J230" s="14" t="s">
        <v>39</v>
      </c>
      <c r="K230" s="9" t="s">
        <v>40</v>
      </c>
      <c r="L230" s="9" t="s">
        <v>824</v>
      </c>
      <c r="M230" s="5" t="str">
        <f>_xlfn.XLOOKUP(N230,enums!$C:$C,enums!$B:$B,"")</f>
        <v>经典跑车</v>
      </c>
      <c r="N230" s="6" t="s">
        <v>261</v>
      </c>
    </row>
    <row r="231" ht="33" spans="1:14">
      <c r="A231" s="8" t="s">
        <v>825</v>
      </c>
      <c r="B231" s="9">
        <v>25</v>
      </c>
      <c r="C231" s="9">
        <v>59</v>
      </c>
      <c r="D231" s="9" t="s">
        <v>700</v>
      </c>
      <c r="E231" s="9">
        <v>44</v>
      </c>
      <c r="F231" s="9" t="s">
        <v>826</v>
      </c>
      <c r="G231" s="10" t="s">
        <v>486</v>
      </c>
      <c r="H231" s="8" t="s">
        <v>26</v>
      </c>
      <c r="I231" s="12">
        <v>75000</v>
      </c>
      <c r="J231" s="14" t="s">
        <v>39</v>
      </c>
      <c r="K231" s="9" t="s">
        <v>40</v>
      </c>
      <c r="L231" s="9" t="s">
        <v>827</v>
      </c>
      <c r="M231" s="5" t="str">
        <f>_xlfn.XLOOKUP(N231,enums!$C:$C,enums!$B:$B,"")</f>
        <v>经典肌肉车</v>
      </c>
      <c r="N231" s="6" t="s">
        <v>466</v>
      </c>
    </row>
    <row r="232" ht="33" spans="1:14">
      <c r="A232" s="8" t="s">
        <v>828</v>
      </c>
      <c r="B232" s="9">
        <v>25</v>
      </c>
      <c r="C232" s="9">
        <v>59</v>
      </c>
      <c r="D232" s="9" t="s">
        <v>700</v>
      </c>
      <c r="E232" s="9">
        <v>45</v>
      </c>
      <c r="F232" s="9" t="s">
        <v>829</v>
      </c>
      <c r="G232" s="10" t="s">
        <v>31</v>
      </c>
      <c r="H232" s="8" t="s">
        <v>124</v>
      </c>
      <c r="I232" s="12">
        <v>500000</v>
      </c>
      <c r="J232" s="18" t="s">
        <v>290</v>
      </c>
      <c r="K232" s="9" t="s">
        <v>40</v>
      </c>
      <c r="L232" s="9" t="s">
        <v>291</v>
      </c>
      <c r="M232" s="5" t="str">
        <f>_xlfn.XLOOKUP(N232,enums!$C:$C,enums!$B:$B,"")</f>
        <v>漂移赛车</v>
      </c>
      <c r="N232" s="6" t="s">
        <v>527</v>
      </c>
    </row>
    <row r="233" ht="33" spans="1:14">
      <c r="A233" s="8" t="s">
        <v>830</v>
      </c>
      <c r="B233" s="9">
        <v>25</v>
      </c>
      <c r="C233" s="9">
        <v>59</v>
      </c>
      <c r="D233" s="9" t="s">
        <v>700</v>
      </c>
      <c r="E233" s="9">
        <v>46</v>
      </c>
      <c r="F233" s="9" t="s">
        <v>831</v>
      </c>
      <c r="G233" s="10" t="s">
        <v>31</v>
      </c>
      <c r="H233" s="8" t="s">
        <v>26</v>
      </c>
      <c r="I233" s="12">
        <v>119000</v>
      </c>
      <c r="J233" s="16" t="s">
        <v>91</v>
      </c>
      <c r="K233" s="9" t="s">
        <v>40</v>
      </c>
      <c r="L233" s="9" t="s">
        <v>824</v>
      </c>
      <c r="M233" s="5" t="str">
        <f>_xlfn.XLOOKUP(N233,enums!$C:$C,enums!$B:$B,"")</f>
        <v>经典肌肉车</v>
      </c>
      <c r="N233" s="6" t="s">
        <v>466</v>
      </c>
    </row>
    <row r="234" ht="33" spans="1:14">
      <c r="A234" s="8" t="s">
        <v>832</v>
      </c>
      <c r="B234" s="9">
        <v>25</v>
      </c>
      <c r="C234" s="9">
        <v>59</v>
      </c>
      <c r="D234" s="9" t="s">
        <v>700</v>
      </c>
      <c r="E234" s="9">
        <v>47</v>
      </c>
      <c r="F234" s="9" t="s">
        <v>833</v>
      </c>
      <c r="G234" s="10" t="s">
        <v>834</v>
      </c>
      <c r="H234" s="8" t="s">
        <v>26</v>
      </c>
      <c r="I234" s="12">
        <v>13200000</v>
      </c>
      <c r="J234" s="16" t="s">
        <v>91</v>
      </c>
      <c r="K234" s="9" t="s">
        <v>40</v>
      </c>
      <c r="L234" s="9" t="s">
        <v>307</v>
      </c>
      <c r="M234" s="5" t="str">
        <f>_xlfn.XLOOKUP(N234,enums!$C:$C,enums!$B:$B,"")</f>
        <v>经典赛车</v>
      </c>
      <c r="N234" s="6" t="s">
        <v>93</v>
      </c>
    </row>
    <row r="235" ht="33" spans="1:14">
      <c r="A235" s="8" t="s">
        <v>835</v>
      </c>
      <c r="B235" s="9">
        <v>25</v>
      </c>
      <c r="C235" s="9">
        <v>59</v>
      </c>
      <c r="D235" s="9" t="s">
        <v>700</v>
      </c>
      <c r="E235" s="9">
        <v>48</v>
      </c>
      <c r="F235" s="9" t="s">
        <v>836</v>
      </c>
      <c r="G235" s="10" t="s">
        <v>96</v>
      </c>
      <c r="H235" s="8" t="s">
        <v>72</v>
      </c>
      <c r="I235" s="12">
        <v>52000</v>
      </c>
      <c r="J235" s="15" t="s">
        <v>46</v>
      </c>
      <c r="K235" s="9" t="s">
        <v>40</v>
      </c>
      <c r="L235" s="9" t="s">
        <v>837</v>
      </c>
      <c r="M235" s="5" t="str">
        <f>_xlfn.XLOOKUP(N235,enums!$C:$C,enums!$B:$B,"")</f>
        <v>经典肌肉车</v>
      </c>
      <c r="N235" s="6" t="s">
        <v>466</v>
      </c>
    </row>
    <row r="236" ht="33" spans="1:14">
      <c r="A236" s="8" t="s">
        <v>838</v>
      </c>
      <c r="B236" s="9">
        <v>25</v>
      </c>
      <c r="C236" s="9">
        <v>59</v>
      </c>
      <c r="D236" s="9" t="s">
        <v>700</v>
      </c>
      <c r="E236" s="9">
        <v>49</v>
      </c>
      <c r="F236" s="9" t="s">
        <v>839</v>
      </c>
      <c r="G236" s="10" t="s">
        <v>840</v>
      </c>
      <c r="H236" s="8" t="s">
        <v>26</v>
      </c>
      <c r="I236" s="12">
        <v>36000</v>
      </c>
      <c r="J236" s="13" t="s">
        <v>19</v>
      </c>
      <c r="K236" s="9" t="s">
        <v>40</v>
      </c>
      <c r="L236" s="9" t="s">
        <v>32</v>
      </c>
      <c r="M236" s="5" t="str">
        <f>_xlfn.XLOOKUP(N236,enums!$C:$C,enums!$B:$B,"")</f>
        <v>改装车和特制车</v>
      </c>
      <c r="N236" s="6" t="s">
        <v>497</v>
      </c>
    </row>
    <row r="237" ht="33" spans="1:14">
      <c r="A237" s="8" t="s">
        <v>841</v>
      </c>
      <c r="B237" s="9">
        <v>26</v>
      </c>
      <c r="C237" s="9">
        <v>79</v>
      </c>
      <c r="D237" s="9" t="s">
        <v>842</v>
      </c>
      <c r="E237" s="9">
        <v>1</v>
      </c>
      <c r="F237" s="9" t="s">
        <v>843</v>
      </c>
      <c r="G237" s="10" t="s">
        <v>37</v>
      </c>
      <c r="H237" s="8" t="s">
        <v>26</v>
      </c>
      <c r="I237" s="12">
        <v>200000</v>
      </c>
      <c r="J237" s="15" t="s">
        <v>46</v>
      </c>
      <c r="K237" s="9" t="s">
        <v>40</v>
      </c>
      <c r="L237" s="9" t="s">
        <v>844</v>
      </c>
      <c r="M237" s="5" t="str">
        <f>_xlfn.XLOOKUP(N237,enums!$C:$C,enums!$B:$B,"")</f>
        <v>漂移赛车</v>
      </c>
      <c r="N237" s="6" t="s">
        <v>527</v>
      </c>
    </row>
    <row r="238" ht="33" spans="1:14">
      <c r="A238" s="8" t="s">
        <v>845</v>
      </c>
      <c r="B238" s="9">
        <v>26</v>
      </c>
      <c r="C238" s="9">
        <v>79</v>
      </c>
      <c r="D238" s="9" t="s">
        <v>842</v>
      </c>
      <c r="E238" s="9">
        <v>2</v>
      </c>
      <c r="F238" s="9" t="s">
        <v>846</v>
      </c>
      <c r="G238" s="10" t="s">
        <v>191</v>
      </c>
      <c r="H238" s="8" t="s">
        <v>26</v>
      </c>
      <c r="I238" s="12">
        <v>185000</v>
      </c>
      <c r="J238" s="15" t="s">
        <v>46</v>
      </c>
      <c r="K238" s="9" t="s">
        <v>40</v>
      </c>
      <c r="L238" s="9" t="s">
        <v>847</v>
      </c>
      <c r="M238" s="5" t="str">
        <f>_xlfn.XLOOKUP(N238,enums!$C:$C,enums!$B:$B,"")</f>
        <v>漂移赛车</v>
      </c>
      <c r="N238" s="6" t="s">
        <v>527</v>
      </c>
    </row>
    <row r="239" ht="33" spans="1:14">
      <c r="A239" s="8" t="s">
        <v>848</v>
      </c>
      <c r="B239" s="9">
        <v>26</v>
      </c>
      <c r="C239" s="9">
        <v>79</v>
      </c>
      <c r="D239" s="9" t="s">
        <v>842</v>
      </c>
      <c r="E239" s="9">
        <v>3</v>
      </c>
      <c r="F239" s="9" t="s">
        <v>849</v>
      </c>
      <c r="G239" s="10" t="s">
        <v>191</v>
      </c>
      <c r="H239" s="8" t="s">
        <v>26</v>
      </c>
      <c r="I239" s="12">
        <v>150000</v>
      </c>
      <c r="J239" s="15" t="s">
        <v>46</v>
      </c>
      <c r="K239" s="9" t="s">
        <v>40</v>
      </c>
      <c r="L239" s="9" t="s">
        <v>850</v>
      </c>
      <c r="M239" s="5" t="str">
        <f>_xlfn.XLOOKUP(N239,enums!$C:$C,enums!$B:$B,"")</f>
        <v>漂移赛车</v>
      </c>
      <c r="N239" s="6" t="s">
        <v>527</v>
      </c>
    </row>
    <row r="240" ht="33" spans="1:14">
      <c r="A240" s="8" t="s">
        <v>851</v>
      </c>
      <c r="B240" s="9">
        <v>26</v>
      </c>
      <c r="C240" s="9">
        <v>79</v>
      </c>
      <c r="D240" s="9" t="s">
        <v>842</v>
      </c>
      <c r="E240" s="9">
        <v>4</v>
      </c>
      <c r="F240" s="9" t="s">
        <v>852</v>
      </c>
      <c r="G240" s="10" t="s">
        <v>123</v>
      </c>
      <c r="H240" s="8" t="s">
        <v>26</v>
      </c>
      <c r="I240" s="12">
        <v>150000</v>
      </c>
      <c r="J240" s="15" t="s">
        <v>46</v>
      </c>
      <c r="K240" s="9" t="s">
        <v>40</v>
      </c>
      <c r="L240" s="9" t="s">
        <v>853</v>
      </c>
      <c r="M240" s="5" t="str">
        <f>_xlfn.XLOOKUP(N240,enums!$C:$C,enums!$B:$B,"")</f>
        <v>漂移赛车</v>
      </c>
      <c r="N240" s="6" t="s">
        <v>527</v>
      </c>
    </row>
    <row r="241" ht="33" spans="1:14">
      <c r="A241" s="8" t="s">
        <v>854</v>
      </c>
      <c r="B241" s="9">
        <v>26</v>
      </c>
      <c r="C241" s="9">
        <v>79</v>
      </c>
      <c r="D241" s="9" t="s">
        <v>842</v>
      </c>
      <c r="E241" s="9">
        <v>5</v>
      </c>
      <c r="F241" s="9" t="s">
        <v>855</v>
      </c>
      <c r="G241" s="10" t="s">
        <v>17</v>
      </c>
      <c r="H241" s="8" t="s">
        <v>26</v>
      </c>
      <c r="I241" s="12">
        <v>150000</v>
      </c>
      <c r="J241" s="15" t="s">
        <v>46</v>
      </c>
      <c r="K241" s="9" t="s">
        <v>40</v>
      </c>
      <c r="L241" s="9" t="s">
        <v>815</v>
      </c>
      <c r="M241" s="5" t="str">
        <f>_xlfn.XLOOKUP(N241,enums!$C:$C,enums!$B:$B,"")</f>
        <v>漂移赛车</v>
      </c>
      <c r="N241" s="6" t="s">
        <v>527</v>
      </c>
    </row>
    <row r="242" ht="33" spans="1:14">
      <c r="A242" s="8" t="s">
        <v>856</v>
      </c>
      <c r="B242" s="9">
        <v>26</v>
      </c>
      <c r="C242" s="9">
        <v>79</v>
      </c>
      <c r="D242" s="9" t="s">
        <v>842</v>
      </c>
      <c r="E242" s="9">
        <v>6</v>
      </c>
      <c r="F242" s="9" t="s">
        <v>857</v>
      </c>
      <c r="G242" s="10" t="s">
        <v>114</v>
      </c>
      <c r="H242" s="8" t="s">
        <v>124</v>
      </c>
      <c r="I242" s="12">
        <v>250000</v>
      </c>
      <c r="J242" s="15" t="s">
        <v>46</v>
      </c>
      <c r="K242" s="9" t="s">
        <v>40</v>
      </c>
      <c r="L242" s="9" t="s">
        <v>858</v>
      </c>
      <c r="M242" s="5" t="str">
        <f>_xlfn.XLOOKUP(N242,enums!$C:$C,enums!$B:$B,"")</f>
        <v>漂移赛车</v>
      </c>
      <c r="N242" s="6" t="s">
        <v>527</v>
      </c>
    </row>
    <row r="243" ht="33" spans="1:14">
      <c r="A243" s="8" t="s">
        <v>859</v>
      </c>
      <c r="B243" s="9">
        <v>26</v>
      </c>
      <c r="C243" s="9">
        <v>79</v>
      </c>
      <c r="D243" s="9" t="s">
        <v>842</v>
      </c>
      <c r="E243" s="9">
        <v>7</v>
      </c>
      <c r="F243" s="9" t="s">
        <v>860</v>
      </c>
      <c r="G243" s="10" t="s">
        <v>136</v>
      </c>
      <c r="H243" s="8" t="s">
        <v>26</v>
      </c>
      <c r="I243" s="12">
        <v>275000</v>
      </c>
      <c r="J243" s="15" t="s">
        <v>46</v>
      </c>
      <c r="K243" s="9" t="s">
        <v>40</v>
      </c>
      <c r="L243" s="9" t="s">
        <v>861</v>
      </c>
      <c r="M243" s="5" t="str">
        <f>_xlfn.XLOOKUP(N243,enums!$C:$C,enums!$B:$B,"")</f>
        <v>漂移赛车</v>
      </c>
      <c r="N243" s="6" t="s">
        <v>527</v>
      </c>
    </row>
    <row r="244" ht="49.5" spans="1:14">
      <c r="A244" s="8" t="s">
        <v>862</v>
      </c>
      <c r="B244" s="9">
        <v>26</v>
      </c>
      <c r="C244" s="9">
        <v>79</v>
      </c>
      <c r="D244" s="9" t="s">
        <v>842</v>
      </c>
      <c r="E244" s="9">
        <v>8</v>
      </c>
      <c r="F244" s="9" t="s">
        <v>863</v>
      </c>
      <c r="G244" s="10" t="s">
        <v>232</v>
      </c>
      <c r="H244" s="8" t="s">
        <v>864</v>
      </c>
      <c r="I244" s="12">
        <v>150000</v>
      </c>
      <c r="J244" s="15" t="s">
        <v>46</v>
      </c>
      <c r="K244" s="9" t="s">
        <v>40</v>
      </c>
      <c r="L244" s="9" t="s">
        <v>420</v>
      </c>
      <c r="M244" s="5" t="str">
        <f>_xlfn.XLOOKUP(N244,enums!$C:$C,enums!$B:$B,"")</f>
        <v>漂移赛车</v>
      </c>
      <c r="N244" s="6" t="s">
        <v>527</v>
      </c>
    </row>
    <row r="245" ht="49.5" spans="1:14">
      <c r="A245" s="8" t="s">
        <v>865</v>
      </c>
      <c r="B245" s="9">
        <v>26</v>
      </c>
      <c r="C245" s="9">
        <v>79</v>
      </c>
      <c r="D245" s="9" t="s">
        <v>842</v>
      </c>
      <c r="E245" s="9">
        <v>9</v>
      </c>
      <c r="F245" s="9" t="s">
        <v>866</v>
      </c>
      <c r="G245" s="10" t="s">
        <v>77</v>
      </c>
      <c r="H245" s="8" t="s">
        <v>867</v>
      </c>
      <c r="I245" s="12">
        <v>525000</v>
      </c>
      <c r="J245" s="15" t="s">
        <v>46</v>
      </c>
      <c r="K245" s="9" t="s">
        <v>40</v>
      </c>
      <c r="L245" s="9" t="s">
        <v>868</v>
      </c>
      <c r="M245" s="5" t="str">
        <f>_xlfn.XLOOKUP(N245,enums!$C:$C,enums!$B:$B,"")</f>
        <v>漂移赛车</v>
      </c>
      <c r="N245" s="6" t="s">
        <v>527</v>
      </c>
    </row>
    <row r="246" ht="33" spans="1:14">
      <c r="A246" s="8" t="s">
        <v>869</v>
      </c>
      <c r="B246" s="9">
        <v>26</v>
      </c>
      <c r="C246" s="9">
        <v>79</v>
      </c>
      <c r="D246" s="9" t="s">
        <v>842</v>
      </c>
      <c r="E246" s="9">
        <v>10</v>
      </c>
      <c r="F246" s="9" t="s">
        <v>870</v>
      </c>
      <c r="G246" s="10" t="s">
        <v>239</v>
      </c>
      <c r="H246" s="8" t="s">
        <v>124</v>
      </c>
      <c r="I246" s="12">
        <v>250000</v>
      </c>
      <c r="J246" s="15" t="s">
        <v>46</v>
      </c>
      <c r="K246" s="9" t="s">
        <v>40</v>
      </c>
      <c r="L246" s="9" t="s">
        <v>850</v>
      </c>
      <c r="M246" s="5" t="str">
        <f>_xlfn.XLOOKUP(N246,enums!$C:$C,enums!$B:$B,"")</f>
        <v>漂移赛车</v>
      </c>
      <c r="N246" s="17" t="s">
        <v>527</v>
      </c>
    </row>
    <row r="247" ht="49.5" spans="1:14">
      <c r="A247" s="8" t="s">
        <v>871</v>
      </c>
      <c r="B247" s="9">
        <v>26</v>
      </c>
      <c r="C247" s="9">
        <v>79</v>
      </c>
      <c r="D247" s="9" t="s">
        <v>842</v>
      </c>
      <c r="E247" s="9">
        <v>11</v>
      </c>
      <c r="F247" s="9" t="s">
        <v>872</v>
      </c>
      <c r="G247" s="10" t="s">
        <v>355</v>
      </c>
      <c r="H247" s="8" t="s">
        <v>873</v>
      </c>
      <c r="I247" s="12">
        <v>150000</v>
      </c>
      <c r="J247" s="15" t="s">
        <v>46</v>
      </c>
      <c r="K247" s="9" t="s">
        <v>40</v>
      </c>
      <c r="L247" s="9" t="s">
        <v>850</v>
      </c>
      <c r="M247" s="5" t="str">
        <f>_xlfn.XLOOKUP(N247,enums!$C:$C,enums!$B:$B,"")</f>
        <v>漂移赛车</v>
      </c>
      <c r="N247" s="6" t="s">
        <v>527</v>
      </c>
    </row>
    <row r="248" ht="33" spans="1:14">
      <c r="A248" s="8" t="s">
        <v>874</v>
      </c>
      <c r="B248" s="9">
        <v>26</v>
      </c>
      <c r="C248" s="9">
        <v>79</v>
      </c>
      <c r="D248" s="9" t="s">
        <v>842</v>
      </c>
      <c r="E248" s="9">
        <v>12</v>
      </c>
      <c r="F248" s="9" t="s">
        <v>875</v>
      </c>
      <c r="G248" s="10" t="s">
        <v>359</v>
      </c>
      <c r="H248" s="8" t="s">
        <v>26</v>
      </c>
      <c r="I248" s="12">
        <v>150000</v>
      </c>
      <c r="J248" s="15" t="s">
        <v>46</v>
      </c>
      <c r="K248" s="9" t="s">
        <v>40</v>
      </c>
      <c r="L248" s="9" t="s">
        <v>876</v>
      </c>
      <c r="M248" s="5" t="str">
        <f>_xlfn.XLOOKUP(N248,enums!$C:$C,enums!$B:$B,"")</f>
        <v>漂移赛车</v>
      </c>
      <c r="N248" s="6" t="s">
        <v>527</v>
      </c>
    </row>
    <row r="249" ht="33" spans="1:14">
      <c r="A249" s="8" t="s">
        <v>877</v>
      </c>
      <c r="B249" s="9">
        <v>26</v>
      </c>
      <c r="C249" s="9">
        <v>79</v>
      </c>
      <c r="D249" s="9" t="s">
        <v>842</v>
      </c>
      <c r="E249" s="9">
        <v>13</v>
      </c>
      <c r="F249" s="9" t="s">
        <v>878</v>
      </c>
      <c r="G249" s="10" t="s">
        <v>674</v>
      </c>
      <c r="H249" s="8" t="s">
        <v>26</v>
      </c>
      <c r="I249" s="12">
        <v>150000</v>
      </c>
      <c r="J249" s="15" t="s">
        <v>46</v>
      </c>
      <c r="K249" s="9" t="s">
        <v>40</v>
      </c>
      <c r="L249" s="9" t="s">
        <v>250</v>
      </c>
      <c r="M249" s="5" t="str">
        <f>_xlfn.XLOOKUP(N249,enums!$C:$C,enums!$B:$B,"")</f>
        <v>漂移赛车</v>
      </c>
      <c r="N249" s="6" t="s">
        <v>527</v>
      </c>
    </row>
    <row r="250" ht="49.5" spans="1:14">
      <c r="A250" s="8" t="s">
        <v>879</v>
      </c>
      <c r="B250" s="9">
        <v>27</v>
      </c>
      <c r="C250" s="9">
        <v>13</v>
      </c>
      <c r="D250" s="9" t="s">
        <v>880</v>
      </c>
      <c r="E250" s="9">
        <v>1</v>
      </c>
      <c r="F250" s="9" t="s">
        <v>881</v>
      </c>
      <c r="G250" s="10" t="s">
        <v>198</v>
      </c>
      <c r="H250" s="8" t="s">
        <v>882</v>
      </c>
      <c r="I250" s="12">
        <v>300000</v>
      </c>
      <c r="J250" s="15" t="s">
        <v>46</v>
      </c>
      <c r="K250" s="9" t="s">
        <v>40</v>
      </c>
      <c r="L250" s="9" t="s">
        <v>883</v>
      </c>
      <c r="M250" s="5" t="str">
        <f>_xlfn.XLOOKUP(N250,enums!$C:$C,enums!$B:$B,"")</f>
        <v>无限制沙滩车</v>
      </c>
      <c r="N250" s="17" t="s">
        <v>111</v>
      </c>
    </row>
    <row r="251" spans="1:14">
      <c r="A251" s="8" t="s">
        <v>884</v>
      </c>
      <c r="B251" s="9">
        <v>28</v>
      </c>
      <c r="C251" s="9">
        <v>14</v>
      </c>
      <c r="D251" s="9" t="s">
        <v>885</v>
      </c>
      <c r="E251" s="9">
        <v>1</v>
      </c>
      <c r="F251" s="9" t="s">
        <v>886</v>
      </c>
      <c r="G251" s="10" t="s">
        <v>44</v>
      </c>
      <c r="H251" s="8" t="s">
        <v>26</v>
      </c>
      <c r="I251" s="12">
        <v>95000</v>
      </c>
      <c r="J251" s="15" t="s">
        <v>46</v>
      </c>
      <c r="K251" s="9" t="s">
        <v>40</v>
      </c>
      <c r="L251" s="9" t="s">
        <v>887</v>
      </c>
      <c r="M251" s="5" t="str">
        <f>_xlfn.XLOOKUP(N251,enums!$C:$C,enums!$B:$B,"")</f>
        <v>皮卡和四轮驱动车</v>
      </c>
      <c r="N251" s="6" t="s">
        <v>430</v>
      </c>
    </row>
    <row r="252" spans="1:14">
      <c r="A252" s="8" t="s">
        <v>888</v>
      </c>
      <c r="B252" s="9">
        <v>28</v>
      </c>
      <c r="C252" s="9">
        <v>14</v>
      </c>
      <c r="D252" s="9" t="s">
        <v>885</v>
      </c>
      <c r="E252" s="9">
        <v>2</v>
      </c>
      <c r="F252" s="9" t="s">
        <v>889</v>
      </c>
      <c r="G252" s="10" t="s">
        <v>82</v>
      </c>
      <c r="H252" s="8" t="s">
        <v>26</v>
      </c>
      <c r="I252" s="12">
        <v>38000</v>
      </c>
      <c r="J252" s="15" t="s">
        <v>46</v>
      </c>
      <c r="K252" s="9" t="s">
        <v>40</v>
      </c>
      <c r="L252" s="9" t="s">
        <v>890</v>
      </c>
      <c r="M252" s="5" t="str">
        <f>_xlfn.XLOOKUP(N252,enums!$C:$C,enums!$B:$B,"")</f>
        <v>运动型多功能英雄车</v>
      </c>
      <c r="N252" s="6" t="s">
        <v>150</v>
      </c>
    </row>
    <row r="253" spans="1:14">
      <c r="A253" s="8" t="s">
        <v>891</v>
      </c>
      <c r="B253" s="9">
        <v>28</v>
      </c>
      <c r="C253" s="9">
        <v>14</v>
      </c>
      <c r="D253" s="9" t="s">
        <v>885</v>
      </c>
      <c r="E253" s="9">
        <v>3</v>
      </c>
      <c r="F253" s="9" t="s">
        <v>892</v>
      </c>
      <c r="G253" s="10" t="s">
        <v>893</v>
      </c>
      <c r="H253" s="8" t="s">
        <v>26</v>
      </c>
      <c r="I253" s="12">
        <v>46000</v>
      </c>
      <c r="J253" s="15" t="s">
        <v>46</v>
      </c>
      <c r="K253" s="9" t="s">
        <v>40</v>
      </c>
      <c r="L253" s="9" t="s">
        <v>894</v>
      </c>
      <c r="M253" s="5" t="str">
        <f>_xlfn.XLOOKUP(N253,enums!$C:$C,enums!$B:$B,"")</f>
        <v>皮卡和四轮驱动车</v>
      </c>
      <c r="N253" s="6" t="s">
        <v>430</v>
      </c>
    </row>
    <row r="254" ht="33" spans="1:14">
      <c r="A254" s="8" t="s">
        <v>895</v>
      </c>
      <c r="B254" s="9">
        <v>28</v>
      </c>
      <c r="C254" s="9">
        <v>14</v>
      </c>
      <c r="D254" s="9" t="s">
        <v>885</v>
      </c>
      <c r="E254" s="9">
        <v>4</v>
      </c>
      <c r="F254" s="9" t="s">
        <v>896</v>
      </c>
      <c r="G254" s="10" t="s">
        <v>473</v>
      </c>
      <c r="H254" s="8" t="s">
        <v>897</v>
      </c>
      <c r="I254" s="12">
        <v>60000</v>
      </c>
      <c r="J254" s="13" t="s">
        <v>19</v>
      </c>
      <c r="K254" s="9" t="s">
        <v>40</v>
      </c>
      <c r="L254" s="9" t="s">
        <v>898</v>
      </c>
      <c r="M254" s="5" t="str">
        <f>_xlfn.XLOOKUP(N254,enums!$C:$C,enums!$B:$B,"")</f>
        <v>皮卡和四轮驱动车</v>
      </c>
      <c r="N254" s="6" t="s">
        <v>430</v>
      </c>
    </row>
    <row r="255" ht="49.5" spans="1:14">
      <c r="A255" s="8" t="s">
        <v>899</v>
      </c>
      <c r="B255" s="9">
        <v>29</v>
      </c>
      <c r="C255" s="9">
        <v>15</v>
      </c>
      <c r="D255" s="9" t="s">
        <v>900</v>
      </c>
      <c r="E255" s="9">
        <v>1</v>
      </c>
      <c r="F255" s="9" t="s">
        <v>901</v>
      </c>
      <c r="G255" s="10" t="s">
        <v>191</v>
      </c>
      <c r="H255" s="8" t="s">
        <v>902</v>
      </c>
      <c r="I255" s="12">
        <v>3050000</v>
      </c>
      <c r="J255" s="16" t="s">
        <v>91</v>
      </c>
      <c r="K255" s="9" t="s">
        <v>132</v>
      </c>
      <c r="L255" s="9" t="s">
        <v>903</v>
      </c>
      <c r="M255" s="5" t="str">
        <f>_xlfn.XLOOKUP(N255,enums!$C:$C,enums!$B:$B,"")</f>
        <v>顶级超跑</v>
      </c>
      <c r="N255" s="17" t="s">
        <v>142</v>
      </c>
    </row>
    <row r="256" spans="1:14">
      <c r="A256" s="8" t="s">
        <v>904</v>
      </c>
      <c r="B256" s="9">
        <v>30</v>
      </c>
      <c r="C256" s="9">
        <v>16</v>
      </c>
      <c r="D256" s="9" t="s">
        <v>905</v>
      </c>
      <c r="E256" s="9">
        <v>1</v>
      </c>
      <c r="F256" s="9" t="s">
        <v>906</v>
      </c>
      <c r="G256" s="10" t="s">
        <v>590</v>
      </c>
      <c r="H256" s="8" t="s">
        <v>26</v>
      </c>
      <c r="I256" s="12">
        <v>250000</v>
      </c>
      <c r="J256" s="16" t="s">
        <v>91</v>
      </c>
      <c r="K256" s="9" t="s">
        <v>266</v>
      </c>
      <c r="L256" s="9" t="s">
        <v>907</v>
      </c>
      <c r="M256" s="5" t="str">
        <f>_xlfn.XLOOKUP(N256,enums!$C:$C,enums!$B:$B,"")</f>
        <v>超级豪华旅行车</v>
      </c>
      <c r="N256" s="6" t="s">
        <v>157</v>
      </c>
    </row>
    <row r="257" spans="1:14">
      <c r="A257" s="8" t="s">
        <v>908</v>
      </c>
      <c r="B257" s="9">
        <v>31</v>
      </c>
      <c r="C257" s="9">
        <v>17</v>
      </c>
      <c r="D257" s="9" t="s">
        <v>909</v>
      </c>
      <c r="E257" s="9">
        <v>1</v>
      </c>
      <c r="F257" s="9" t="s">
        <v>910</v>
      </c>
      <c r="G257" s="10" t="s">
        <v>61</v>
      </c>
      <c r="H257" s="8" t="s">
        <v>26</v>
      </c>
      <c r="I257" s="12">
        <v>2050000</v>
      </c>
      <c r="J257" s="16" t="s">
        <v>91</v>
      </c>
      <c r="K257" s="9" t="s">
        <v>40</v>
      </c>
      <c r="L257" s="9" t="s">
        <v>911</v>
      </c>
      <c r="M257" s="5" t="str">
        <f>_xlfn.XLOOKUP(N257,enums!$C:$C,enums!$B:$B,"")</f>
        <v>顶级超跑</v>
      </c>
      <c r="N257" s="6" t="s">
        <v>142</v>
      </c>
    </row>
    <row r="258" ht="33" spans="1:14">
      <c r="A258" s="8" t="s">
        <v>912</v>
      </c>
      <c r="B258" s="9">
        <v>31</v>
      </c>
      <c r="C258" s="9">
        <v>17</v>
      </c>
      <c r="D258" s="9" t="s">
        <v>909</v>
      </c>
      <c r="E258" s="9">
        <v>2</v>
      </c>
      <c r="F258" s="9" t="s">
        <v>913</v>
      </c>
      <c r="G258" s="10" t="s">
        <v>123</v>
      </c>
      <c r="H258" s="8" t="s">
        <v>26</v>
      </c>
      <c r="I258" s="12">
        <v>375000</v>
      </c>
      <c r="J258" s="16" t="s">
        <v>91</v>
      </c>
      <c r="K258" s="9" t="s">
        <v>40</v>
      </c>
      <c r="L258" s="9" t="s">
        <v>914</v>
      </c>
      <c r="M258" s="5" t="str">
        <f>_xlfn.XLOOKUP(N258,enums!$C:$C,enums!$B:$B,"")</f>
        <v>皮卡和四轮驱动车</v>
      </c>
      <c r="N258" s="6" t="s">
        <v>430</v>
      </c>
    </row>
    <row r="259" spans="1:14">
      <c r="A259" s="8" t="s">
        <v>915</v>
      </c>
      <c r="B259" s="9">
        <v>31</v>
      </c>
      <c r="C259" s="9">
        <v>17</v>
      </c>
      <c r="D259" s="9" t="s">
        <v>909</v>
      </c>
      <c r="E259" s="9">
        <v>3</v>
      </c>
      <c r="F259" s="9" t="s">
        <v>916</v>
      </c>
      <c r="G259" s="10" t="s">
        <v>329</v>
      </c>
      <c r="H259" s="8" t="s">
        <v>124</v>
      </c>
      <c r="I259" s="12">
        <v>1400000</v>
      </c>
      <c r="J259" s="16" t="s">
        <v>91</v>
      </c>
      <c r="K259" s="9" t="s">
        <v>40</v>
      </c>
      <c r="L259" s="9" t="s">
        <v>917</v>
      </c>
      <c r="M259" s="5" t="str">
        <f>_xlfn.XLOOKUP(N259,enums!$C:$C,enums!$B:$B,"")</f>
        <v>顶级超跑</v>
      </c>
      <c r="N259" s="6" t="s">
        <v>142</v>
      </c>
    </row>
    <row r="260" ht="33" spans="1:14">
      <c r="A260" s="8" t="s">
        <v>918</v>
      </c>
      <c r="B260" s="9">
        <v>32</v>
      </c>
      <c r="C260" s="9">
        <v>18</v>
      </c>
      <c r="D260" s="9" t="s">
        <v>919</v>
      </c>
      <c r="E260" s="9">
        <v>1</v>
      </c>
      <c r="F260" s="9" t="s">
        <v>920</v>
      </c>
      <c r="G260" s="10" t="s">
        <v>818</v>
      </c>
      <c r="H260" s="8" t="s">
        <v>26</v>
      </c>
      <c r="I260" s="12">
        <v>500000</v>
      </c>
      <c r="J260" s="14" t="s">
        <v>39</v>
      </c>
      <c r="K260" s="9" t="s">
        <v>921</v>
      </c>
      <c r="L260" s="9" t="s">
        <v>922</v>
      </c>
      <c r="M260" s="5" t="str">
        <f>_xlfn.XLOOKUP(N260,enums!$C:$C,enums!$B:$B,"")</f>
        <v>经典肌肉车</v>
      </c>
      <c r="N260" s="6" t="s">
        <v>466</v>
      </c>
    </row>
    <row r="261" ht="66" spans="1:14">
      <c r="A261" s="8" t="s">
        <v>923</v>
      </c>
      <c r="B261" s="9">
        <v>33</v>
      </c>
      <c r="C261" s="9">
        <v>50</v>
      </c>
      <c r="D261" s="9" t="s">
        <v>924</v>
      </c>
      <c r="E261" s="9">
        <v>1</v>
      </c>
      <c r="F261" s="9" t="s">
        <v>925</v>
      </c>
      <c r="G261" s="10" t="s">
        <v>37</v>
      </c>
      <c r="H261" s="8" t="s">
        <v>926</v>
      </c>
      <c r="I261" s="12">
        <v>43000</v>
      </c>
      <c r="J261" s="14" t="s">
        <v>39</v>
      </c>
      <c r="K261" s="9" t="s">
        <v>266</v>
      </c>
      <c r="L261" s="9" t="s">
        <v>215</v>
      </c>
      <c r="M261" s="5" t="str">
        <f>_xlfn.XLOOKUP(N261,enums!$C:$C,enums!$B:$B,"")</f>
        <v>超高性能掀背车</v>
      </c>
      <c r="N261" s="6" t="s">
        <v>226</v>
      </c>
    </row>
    <row r="262" ht="33" spans="1:14">
      <c r="A262" s="8" t="s">
        <v>927</v>
      </c>
      <c r="B262" s="9">
        <v>33</v>
      </c>
      <c r="C262" s="9">
        <v>50</v>
      </c>
      <c r="D262" s="9" t="s">
        <v>924</v>
      </c>
      <c r="E262" s="9">
        <v>2</v>
      </c>
      <c r="F262" s="9" t="s">
        <v>928</v>
      </c>
      <c r="G262" s="10" t="s">
        <v>44</v>
      </c>
      <c r="H262" s="8" t="s">
        <v>26</v>
      </c>
      <c r="I262" s="12">
        <v>30000</v>
      </c>
      <c r="J262" s="13" t="s">
        <v>19</v>
      </c>
      <c r="K262" s="9" t="s">
        <v>266</v>
      </c>
      <c r="L262" s="9" t="s">
        <v>929</v>
      </c>
      <c r="M262" s="5" t="str">
        <f>_xlfn.XLOOKUP(N262,enums!$C:$C,enums!$B:$B,"")</f>
        <v>高性能掀背车</v>
      </c>
      <c r="N262" s="6" t="s">
        <v>22</v>
      </c>
    </row>
    <row r="263" ht="33" spans="1:14">
      <c r="A263" s="8" t="s">
        <v>930</v>
      </c>
      <c r="B263" s="9">
        <v>33</v>
      </c>
      <c r="C263" s="9">
        <v>50</v>
      </c>
      <c r="D263" s="9" t="s">
        <v>924</v>
      </c>
      <c r="E263" s="9">
        <v>3</v>
      </c>
      <c r="F263" s="9" t="s">
        <v>931</v>
      </c>
      <c r="G263" s="10" t="s">
        <v>198</v>
      </c>
      <c r="H263" s="8" t="s">
        <v>26</v>
      </c>
      <c r="I263" s="12">
        <v>35000</v>
      </c>
      <c r="J263" s="14" t="s">
        <v>39</v>
      </c>
      <c r="K263" s="9" t="s">
        <v>266</v>
      </c>
      <c r="L263" s="9" t="s">
        <v>342</v>
      </c>
      <c r="M263" s="5" t="str">
        <f>_xlfn.XLOOKUP(N263,enums!$C:$C,enums!$B:$B,"")</f>
        <v>超高性能掀背车</v>
      </c>
      <c r="N263" s="6" t="s">
        <v>226</v>
      </c>
    </row>
    <row r="264" ht="33" spans="1:14">
      <c r="A264" s="8" t="s">
        <v>932</v>
      </c>
      <c r="B264" s="9">
        <v>33</v>
      </c>
      <c r="C264" s="9">
        <v>50</v>
      </c>
      <c r="D264" s="9" t="s">
        <v>924</v>
      </c>
      <c r="E264" s="9">
        <v>4</v>
      </c>
      <c r="F264" s="9" t="s">
        <v>933</v>
      </c>
      <c r="G264" s="10" t="s">
        <v>114</v>
      </c>
      <c r="H264" s="8" t="s">
        <v>38</v>
      </c>
      <c r="I264" s="12">
        <v>30000</v>
      </c>
      <c r="J264" s="13" t="s">
        <v>19</v>
      </c>
      <c r="K264" s="9" t="s">
        <v>266</v>
      </c>
      <c r="L264" s="9" t="s">
        <v>934</v>
      </c>
      <c r="M264" s="5" t="str">
        <f>_xlfn.XLOOKUP(N264,enums!$C:$C,enums!$B:$B,"")</f>
        <v>超高性能掀背车</v>
      </c>
      <c r="N264" s="6" t="s">
        <v>226</v>
      </c>
    </row>
    <row r="265" ht="33" spans="1:14">
      <c r="A265" s="8" t="s">
        <v>935</v>
      </c>
      <c r="B265" s="9">
        <v>33</v>
      </c>
      <c r="C265" s="9">
        <v>50</v>
      </c>
      <c r="D265" s="9" t="s">
        <v>924</v>
      </c>
      <c r="E265" s="9">
        <v>5</v>
      </c>
      <c r="F265" s="9" t="s">
        <v>936</v>
      </c>
      <c r="G265" s="10" t="s">
        <v>114</v>
      </c>
      <c r="H265" s="8" t="s">
        <v>26</v>
      </c>
      <c r="I265" s="12">
        <v>400000</v>
      </c>
      <c r="J265" s="15" t="s">
        <v>46</v>
      </c>
      <c r="K265" s="9" t="s">
        <v>266</v>
      </c>
      <c r="L265" s="9" t="s">
        <v>345</v>
      </c>
      <c r="M265" s="5" t="str">
        <f>_xlfn.XLOOKUP(N265,enums!$C:$C,enums!$B:$B,"")</f>
        <v>无限制越野车</v>
      </c>
      <c r="N265" s="6" t="s">
        <v>107</v>
      </c>
    </row>
    <row r="266" ht="33" spans="1:14">
      <c r="A266" s="8" t="s">
        <v>937</v>
      </c>
      <c r="B266" s="9">
        <v>33</v>
      </c>
      <c r="C266" s="9">
        <v>50</v>
      </c>
      <c r="D266" s="9" t="s">
        <v>924</v>
      </c>
      <c r="E266" s="9">
        <v>6</v>
      </c>
      <c r="F266" s="9" t="s">
        <v>938</v>
      </c>
      <c r="G266" s="10" t="s">
        <v>341</v>
      </c>
      <c r="H266" s="8" t="s">
        <v>178</v>
      </c>
      <c r="I266" s="12" t="s">
        <v>63</v>
      </c>
      <c r="J266" s="14" t="s">
        <v>39</v>
      </c>
      <c r="K266" s="9" t="s">
        <v>266</v>
      </c>
      <c r="L266" s="9" t="s">
        <v>939</v>
      </c>
      <c r="M266" s="5" t="str">
        <f>_xlfn.XLOOKUP(N266,enums!$C:$C,enums!$B:$B,"")</f>
        <v>复古超级跑车</v>
      </c>
      <c r="N266" s="17" t="s">
        <v>84</v>
      </c>
    </row>
    <row r="267" ht="33" spans="1:14">
      <c r="A267" s="8" t="s">
        <v>940</v>
      </c>
      <c r="B267" s="9">
        <v>33</v>
      </c>
      <c r="C267" s="9">
        <v>50</v>
      </c>
      <c r="D267" s="9" t="s">
        <v>924</v>
      </c>
      <c r="E267" s="9">
        <v>7</v>
      </c>
      <c r="F267" s="9" t="s">
        <v>941</v>
      </c>
      <c r="G267" s="10" t="s">
        <v>77</v>
      </c>
      <c r="H267" s="8" t="s">
        <v>26</v>
      </c>
      <c r="I267" s="12">
        <v>17000</v>
      </c>
      <c r="J267" s="13" t="s">
        <v>19</v>
      </c>
      <c r="K267" s="9" t="s">
        <v>266</v>
      </c>
      <c r="L267" s="9" t="s">
        <v>390</v>
      </c>
      <c r="M267" s="5" t="str">
        <f>_xlfn.XLOOKUP(N267,enums!$C:$C,enums!$B:$B,"")</f>
        <v>高性能掀背车</v>
      </c>
      <c r="N267" s="6" t="s">
        <v>22</v>
      </c>
    </row>
    <row r="268" ht="33" spans="1:14">
      <c r="A268" s="8" t="s">
        <v>942</v>
      </c>
      <c r="B268" s="9">
        <v>33</v>
      </c>
      <c r="C268" s="9">
        <v>50</v>
      </c>
      <c r="D268" s="9" t="s">
        <v>924</v>
      </c>
      <c r="E268" s="9">
        <v>8</v>
      </c>
      <c r="F268" s="9" t="s">
        <v>943</v>
      </c>
      <c r="G268" s="10" t="s">
        <v>348</v>
      </c>
      <c r="H268" s="8" t="s">
        <v>944</v>
      </c>
      <c r="I268" s="12">
        <v>600000</v>
      </c>
      <c r="J268" s="9" t="s">
        <v>804</v>
      </c>
      <c r="K268" s="9" t="s">
        <v>266</v>
      </c>
      <c r="L268" s="9" t="s">
        <v>342</v>
      </c>
      <c r="M268" s="5" t="str">
        <f>_xlfn.XLOOKUP(N268,enums!$C:$C,enums!$B:$B,"")</f>
        <v>复古跑车</v>
      </c>
      <c r="N268" s="6" t="s">
        <v>364</v>
      </c>
    </row>
    <row r="269" ht="49.5" spans="1:14">
      <c r="A269" s="8" t="s">
        <v>945</v>
      </c>
      <c r="B269" s="9">
        <v>33</v>
      </c>
      <c r="C269" s="9">
        <v>50</v>
      </c>
      <c r="D269" s="9" t="s">
        <v>924</v>
      </c>
      <c r="E269" s="9">
        <v>9</v>
      </c>
      <c r="F269" s="9" t="s">
        <v>946</v>
      </c>
      <c r="G269" s="10" t="s">
        <v>348</v>
      </c>
      <c r="H269" s="8" t="s">
        <v>947</v>
      </c>
      <c r="I269" s="12">
        <v>325000</v>
      </c>
      <c r="J269" s="15" t="s">
        <v>46</v>
      </c>
      <c r="K269" s="9" t="s">
        <v>266</v>
      </c>
      <c r="L269" s="9" t="s">
        <v>948</v>
      </c>
      <c r="M269" s="5" t="str">
        <f>_xlfn.XLOOKUP(N269,enums!$C:$C,enums!$B:$B,"")</f>
        <v>复古跑车</v>
      </c>
      <c r="N269" s="6" t="s">
        <v>364</v>
      </c>
    </row>
    <row r="270" ht="33" spans="1:14">
      <c r="A270" s="8" t="s">
        <v>949</v>
      </c>
      <c r="B270" s="9">
        <v>33</v>
      </c>
      <c r="C270" s="9">
        <v>50</v>
      </c>
      <c r="D270" s="9" t="s">
        <v>924</v>
      </c>
      <c r="E270" s="9">
        <v>10</v>
      </c>
      <c r="F270" s="9" t="s">
        <v>950</v>
      </c>
      <c r="G270" s="10" t="s">
        <v>951</v>
      </c>
      <c r="H270" s="8" t="s">
        <v>952</v>
      </c>
      <c r="I270" s="12">
        <v>320000</v>
      </c>
      <c r="J270" s="15" t="s">
        <v>46</v>
      </c>
      <c r="K270" s="9" t="s">
        <v>266</v>
      </c>
      <c r="L270" s="9" t="s">
        <v>953</v>
      </c>
      <c r="M270" s="5" t="str">
        <f>_xlfn.XLOOKUP(N270,enums!$C:$C,enums!$B:$B,"")</f>
        <v>极限赛道玩具</v>
      </c>
      <c r="N270" s="6" t="s">
        <v>127</v>
      </c>
    </row>
    <row r="271" ht="33" spans="1:14">
      <c r="A271" s="8" t="s">
        <v>954</v>
      </c>
      <c r="B271" s="9">
        <v>33</v>
      </c>
      <c r="C271" s="9">
        <v>50</v>
      </c>
      <c r="D271" s="9" t="s">
        <v>924</v>
      </c>
      <c r="E271" s="9">
        <v>11</v>
      </c>
      <c r="F271" s="9" t="s">
        <v>955</v>
      </c>
      <c r="G271" s="10" t="s">
        <v>951</v>
      </c>
      <c r="H271" s="8" t="s">
        <v>38</v>
      </c>
      <c r="I271" s="12">
        <v>15000</v>
      </c>
      <c r="J271" s="13" t="s">
        <v>19</v>
      </c>
      <c r="K271" s="9" t="s">
        <v>266</v>
      </c>
      <c r="L271" s="9" t="s">
        <v>956</v>
      </c>
      <c r="M271" s="5" t="str">
        <f>_xlfn.XLOOKUP(N271,enums!$C:$C,enums!$B:$B,"")</f>
        <v>复古高性能掀背车</v>
      </c>
      <c r="N271" s="6" t="s">
        <v>53</v>
      </c>
    </row>
    <row r="272" ht="33" spans="1:14">
      <c r="A272" s="8" t="s">
        <v>957</v>
      </c>
      <c r="B272" s="9">
        <v>33</v>
      </c>
      <c r="C272" s="9">
        <v>50</v>
      </c>
      <c r="D272" s="9" t="s">
        <v>924</v>
      </c>
      <c r="E272" s="9">
        <v>12</v>
      </c>
      <c r="F272" s="9" t="s">
        <v>958</v>
      </c>
      <c r="G272" s="10" t="s">
        <v>242</v>
      </c>
      <c r="H272" s="8" t="s">
        <v>38</v>
      </c>
      <c r="I272" s="12">
        <v>55000</v>
      </c>
      <c r="J272" s="13" t="s">
        <v>19</v>
      </c>
      <c r="K272" s="9" t="s">
        <v>266</v>
      </c>
      <c r="L272" s="9" t="s">
        <v>959</v>
      </c>
      <c r="M272" s="5" t="str">
        <f>_xlfn.XLOOKUP(N272,enums!$C:$C,enums!$B:$B,"")</f>
        <v>现代跑车</v>
      </c>
      <c r="N272" s="6" t="s">
        <v>74</v>
      </c>
    </row>
    <row r="273" ht="33" spans="1:14">
      <c r="A273" s="8" t="s">
        <v>960</v>
      </c>
      <c r="B273" s="9">
        <v>33</v>
      </c>
      <c r="C273" s="9">
        <v>50</v>
      </c>
      <c r="D273" s="9" t="s">
        <v>924</v>
      </c>
      <c r="E273" s="9">
        <v>13</v>
      </c>
      <c r="F273" s="9" t="s">
        <v>961</v>
      </c>
      <c r="G273" s="10" t="s">
        <v>56</v>
      </c>
      <c r="H273" s="8" t="s">
        <v>952</v>
      </c>
      <c r="I273" s="12">
        <v>150000</v>
      </c>
      <c r="J273" s="15" t="s">
        <v>46</v>
      </c>
      <c r="K273" s="9" t="s">
        <v>266</v>
      </c>
      <c r="L273" s="9" t="s">
        <v>962</v>
      </c>
      <c r="M273" s="5" t="str">
        <f>_xlfn.XLOOKUP(N273,enums!$C:$C,enums!$B:$B,"")</f>
        <v>极限赛道玩具</v>
      </c>
      <c r="N273" s="6" t="s">
        <v>127</v>
      </c>
    </row>
    <row r="274" ht="33" spans="1:14">
      <c r="A274" s="8" t="s">
        <v>963</v>
      </c>
      <c r="B274" s="9">
        <v>33</v>
      </c>
      <c r="C274" s="9">
        <v>50</v>
      </c>
      <c r="D274" s="9" t="s">
        <v>924</v>
      </c>
      <c r="E274" s="9">
        <v>14</v>
      </c>
      <c r="F274" s="9" t="s">
        <v>964</v>
      </c>
      <c r="G274" s="10" t="s">
        <v>355</v>
      </c>
      <c r="H274" s="8" t="s">
        <v>38</v>
      </c>
      <c r="I274" s="12">
        <v>30000</v>
      </c>
      <c r="J274" s="13" t="s">
        <v>19</v>
      </c>
      <c r="K274" s="9" t="s">
        <v>266</v>
      </c>
      <c r="L274" s="9" t="s">
        <v>477</v>
      </c>
      <c r="M274" s="5" t="str">
        <f>_xlfn.XLOOKUP(N274,enums!$C:$C,enums!$B:$B,"")</f>
        <v>复古高性能掀背车</v>
      </c>
      <c r="N274" s="6" t="s">
        <v>53</v>
      </c>
    </row>
    <row r="275" ht="49.5" spans="1:14">
      <c r="A275" s="8" t="s">
        <v>965</v>
      </c>
      <c r="B275" s="9">
        <v>33</v>
      </c>
      <c r="C275" s="9">
        <v>50</v>
      </c>
      <c r="D275" s="9" t="s">
        <v>924</v>
      </c>
      <c r="E275" s="9">
        <v>15</v>
      </c>
      <c r="F275" s="9" t="s">
        <v>966</v>
      </c>
      <c r="G275" s="10" t="s">
        <v>667</v>
      </c>
      <c r="H275" s="8" t="s">
        <v>967</v>
      </c>
      <c r="I275" s="12">
        <v>15000</v>
      </c>
      <c r="J275" s="13" t="s">
        <v>19</v>
      </c>
      <c r="K275" s="9" t="s">
        <v>266</v>
      </c>
      <c r="L275" s="9" t="s">
        <v>968</v>
      </c>
      <c r="M275" s="5" t="str">
        <f>_xlfn.XLOOKUP(N275,enums!$C:$C,enums!$B:$B,"")</f>
        <v>复古高性能掀背车</v>
      </c>
      <c r="N275" s="6" t="s">
        <v>53</v>
      </c>
    </row>
    <row r="276" ht="66" spans="1:14">
      <c r="A276" s="8" t="s">
        <v>969</v>
      </c>
      <c r="B276" s="9">
        <v>33</v>
      </c>
      <c r="C276" s="9">
        <v>50</v>
      </c>
      <c r="D276" s="9" t="s">
        <v>924</v>
      </c>
      <c r="E276" s="9">
        <v>16</v>
      </c>
      <c r="F276" s="9" t="s">
        <v>970</v>
      </c>
      <c r="G276" s="10" t="s">
        <v>667</v>
      </c>
      <c r="H276" s="8" t="s">
        <v>971</v>
      </c>
      <c r="I276" s="12">
        <v>9000</v>
      </c>
      <c r="J276" s="13" t="s">
        <v>19</v>
      </c>
      <c r="K276" s="9" t="s">
        <v>266</v>
      </c>
      <c r="L276" s="9" t="s">
        <v>32</v>
      </c>
      <c r="M276" s="5" t="str">
        <f>_xlfn.XLOOKUP(N276,enums!$C:$C,enums!$B:$B,"")</f>
        <v>家庭多用</v>
      </c>
      <c r="N276" s="6" t="s">
        <v>268</v>
      </c>
    </row>
    <row r="277" ht="33" spans="1:14">
      <c r="A277" s="8" t="s">
        <v>972</v>
      </c>
      <c r="B277" s="9">
        <v>33</v>
      </c>
      <c r="C277" s="9">
        <v>50</v>
      </c>
      <c r="D277" s="9" t="s">
        <v>924</v>
      </c>
      <c r="E277" s="9">
        <v>17</v>
      </c>
      <c r="F277" s="9" t="s">
        <v>973</v>
      </c>
      <c r="G277" s="10" t="s">
        <v>82</v>
      </c>
      <c r="H277" s="8" t="s">
        <v>952</v>
      </c>
      <c r="I277" s="12">
        <v>150000</v>
      </c>
      <c r="J277" s="15" t="s">
        <v>46</v>
      </c>
      <c r="K277" s="9" t="s">
        <v>266</v>
      </c>
      <c r="L277" s="9" t="s">
        <v>974</v>
      </c>
      <c r="M277" s="5" t="str">
        <f>_xlfn.XLOOKUP(N277,enums!$C:$C,enums!$B:$B,"")</f>
        <v>极限赛道玩具</v>
      </c>
      <c r="N277" s="6" t="s">
        <v>127</v>
      </c>
    </row>
    <row r="278" ht="33" spans="1:14">
      <c r="A278" s="8" t="s">
        <v>975</v>
      </c>
      <c r="B278" s="9">
        <v>33</v>
      </c>
      <c r="C278" s="9">
        <v>50</v>
      </c>
      <c r="D278" s="9" t="s">
        <v>924</v>
      </c>
      <c r="E278" s="9">
        <v>18</v>
      </c>
      <c r="F278" s="9" t="s">
        <v>976</v>
      </c>
      <c r="G278" s="10" t="s">
        <v>82</v>
      </c>
      <c r="H278" s="8" t="s">
        <v>26</v>
      </c>
      <c r="I278" s="12">
        <v>450000</v>
      </c>
      <c r="J278" s="15" t="s">
        <v>46</v>
      </c>
      <c r="K278" s="9" t="s">
        <v>266</v>
      </c>
      <c r="L278" s="9" t="s">
        <v>977</v>
      </c>
      <c r="M278" s="5" t="str">
        <f>_xlfn.XLOOKUP(N278,enums!$C:$C,enums!$B:$B,"")</f>
        <v>复古跑车</v>
      </c>
      <c r="N278" s="6" t="s">
        <v>364</v>
      </c>
    </row>
    <row r="279" ht="33" spans="1:14">
      <c r="A279" s="8" t="s">
        <v>978</v>
      </c>
      <c r="B279" s="9">
        <v>33</v>
      </c>
      <c r="C279" s="9">
        <v>50</v>
      </c>
      <c r="D279" s="9" t="s">
        <v>924</v>
      </c>
      <c r="E279" s="9">
        <v>19</v>
      </c>
      <c r="F279" s="9" t="s">
        <v>979</v>
      </c>
      <c r="G279" s="10" t="s">
        <v>893</v>
      </c>
      <c r="H279" s="8" t="s">
        <v>18</v>
      </c>
      <c r="I279" s="12">
        <v>250000</v>
      </c>
      <c r="J279" s="13" t="s">
        <v>19</v>
      </c>
      <c r="K279" s="9" t="s">
        <v>266</v>
      </c>
      <c r="L279" s="9" t="s">
        <v>980</v>
      </c>
      <c r="M279" s="5" t="str">
        <f>_xlfn.XLOOKUP(N279,enums!$C:$C,enums!$B:$B,"")</f>
        <v>复古高性能掀背车</v>
      </c>
      <c r="N279" s="6" t="s">
        <v>53</v>
      </c>
    </row>
    <row r="280" ht="66" spans="1:14">
      <c r="A280" s="8" t="s">
        <v>981</v>
      </c>
      <c r="B280" s="9">
        <v>33</v>
      </c>
      <c r="C280" s="9">
        <v>50</v>
      </c>
      <c r="D280" s="9" t="s">
        <v>924</v>
      </c>
      <c r="E280" s="9">
        <v>20</v>
      </c>
      <c r="F280" s="9" t="s">
        <v>982</v>
      </c>
      <c r="G280" s="10" t="s">
        <v>893</v>
      </c>
      <c r="H280" s="8" t="s">
        <v>983</v>
      </c>
      <c r="I280" s="12">
        <v>15000</v>
      </c>
      <c r="J280" s="14" t="s">
        <v>39</v>
      </c>
      <c r="K280" s="9" t="s">
        <v>266</v>
      </c>
      <c r="L280" s="9" t="s">
        <v>984</v>
      </c>
      <c r="M280" s="5" t="str">
        <f>_xlfn.XLOOKUP(N280,enums!$C:$C,enums!$B:$B,"")</f>
        <v>家庭多用</v>
      </c>
      <c r="N280" s="6" t="s">
        <v>268</v>
      </c>
    </row>
    <row r="281" ht="33" spans="1:14">
      <c r="A281" s="8" t="s">
        <v>985</v>
      </c>
      <c r="B281" s="9">
        <v>33</v>
      </c>
      <c r="C281" s="9">
        <v>50</v>
      </c>
      <c r="D281" s="9" t="s">
        <v>924</v>
      </c>
      <c r="E281" s="9">
        <v>21</v>
      </c>
      <c r="F281" s="9" t="s">
        <v>986</v>
      </c>
      <c r="G281" s="10" t="s">
        <v>87</v>
      </c>
      <c r="H281" s="8" t="s">
        <v>952</v>
      </c>
      <c r="I281" s="12">
        <v>150000</v>
      </c>
      <c r="J281" s="15" t="s">
        <v>46</v>
      </c>
      <c r="K281" s="9" t="s">
        <v>266</v>
      </c>
      <c r="L281" s="9" t="s">
        <v>987</v>
      </c>
      <c r="M281" s="5" t="str">
        <f>_xlfn.XLOOKUP(N281,enums!$C:$C,enums!$B:$B,"")</f>
        <v>极限赛道玩具</v>
      </c>
      <c r="N281" s="6" t="s">
        <v>127</v>
      </c>
    </row>
    <row r="282" ht="33" spans="1:14">
      <c r="A282" s="8" t="s">
        <v>988</v>
      </c>
      <c r="B282" s="9">
        <v>33</v>
      </c>
      <c r="C282" s="9">
        <v>50</v>
      </c>
      <c r="D282" s="9" t="s">
        <v>924</v>
      </c>
      <c r="E282" s="9">
        <v>22</v>
      </c>
      <c r="F282" s="9" t="s">
        <v>989</v>
      </c>
      <c r="G282" s="10" t="s">
        <v>249</v>
      </c>
      <c r="H282" s="8" t="s">
        <v>72</v>
      </c>
      <c r="I282" s="12">
        <v>10000</v>
      </c>
      <c r="J282" s="15" t="s">
        <v>46</v>
      </c>
      <c r="K282" s="9" t="s">
        <v>266</v>
      </c>
      <c r="L282" s="9" t="s">
        <v>990</v>
      </c>
      <c r="M282" s="5" t="str">
        <f>_xlfn.XLOOKUP(N282,enums!$C:$C,enums!$B:$B,"")</f>
        <v>复古高性能掀背车</v>
      </c>
      <c r="N282" s="6" t="s">
        <v>53</v>
      </c>
    </row>
    <row r="283" ht="49.5" spans="1:14">
      <c r="A283" s="8" t="s">
        <v>991</v>
      </c>
      <c r="B283" s="9">
        <v>33</v>
      </c>
      <c r="C283" s="9">
        <v>50</v>
      </c>
      <c r="D283" s="9" t="s">
        <v>924</v>
      </c>
      <c r="E283" s="9">
        <v>23</v>
      </c>
      <c r="F283" s="9" t="s">
        <v>992</v>
      </c>
      <c r="G283" s="10" t="s">
        <v>680</v>
      </c>
      <c r="H283" s="8" t="s">
        <v>993</v>
      </c>
      <c r="I283" s="12">
        <v>50000</v>
      </c>
      <c r="J283" s="15" t="s">
        <v>46</v>
      </c>
      <c r="K283" s="9" t="s">
        <v>266</v>
      </c>
      <c r="L283" s="9" t="s">
        <v>994</v>
      </c>
      <c r="M283" s="5" t="str">
        <f>_xlfn.XLOOKUP(N283,enums!$C:$C,enums!$B:$B,"")</f>
        <v>复古跑车</v>
      </c>
      <c r="N283" s="6" t="s">
        <v>364</v>
      </c>
    </row>
    <row r="284" ht="49.5" spans="1:14">
      <c r="A284" s="8" t="s">
        <v>995</v>
      </c>
      <c r="B284" s="9">
        <v>33</v>
      </c>
      <c r="C284" s="9">
        <v>50</v>
      </c>
      <c r="D284" s="9" t="s">
        <v>924</v>
      </c>
      <c r="E284" s="9">
        <v>24</v>
      </c>
      <c r="F284" s="9" t="s">
        <v>996</v>
      </c>
      <c r="G284" s="10" t="s">
        <v>680</v>
      </c>
      <c r="H284" s="8" t="s">
        <v>997</v>
      </c>
      <c r="I284" s="12">
        <v>7500</v>
      </c>
      <c r="J284" s="15" t="s">
        <v>46</v>
      </c>
      <c r="K284" s="9" t="s">
        <v>266</v>
      </c>
      <c r="L284" s="9" t="s">
        <v>998</v>
      </c>
      <c r="M284" s="5" t="str">
        <f>_xlfn.XLOOKUP(N284,enums!$C:$C,enums!$B:$B,"")</f>
        <v>家庭多用</v>
      </c>
      <c r="N284" s="6" t="s">
        <v>268</v>
      </c>
    </row>
    <row r="285" ht="33" spans="1:14">
      <c r="A285" s="8" t="s">
        <v>999</v>
      </c>
      <c r="B285" s="9">
        <v>33</v>
      </c>
      <c r="C285" s="9">
        <v>50</v>
      </c>
      <c r="D285" s="9" t="s">
        <v>924</v>
      </c>
      <c r="E285" s="9">
        <v>25</v>
      </c>
      <c r="F285" s="9" t="s">
        <v>1000</v>
      </c>
      <c r="G285" s="10" t="s">
        <v>1001</v>
      </c>
      <c r="H285" s="8" t="s">
        <v>1002</v>
      </c>
      <c r="I285" s="12">
        <v>14000</v>
      </c>
      <c r="J285" s="13" t="s">
        <v>19</v>
      </c>
      <c r="K285" s="9" t="s">
        <v>266</v>
      </c>
      <c r="L285" s="9" t="s">
        <v>1003</v>
      </c>
      <c r="M285" s="5" t="str">
        <f>_xlfn.XLOOKUP(N285,enums!$C:$C,enums!$B:$B,"")</f>
        <v>复古高性能掀背车</v>
      </c>
      <c r="N285" s="6" t="s">
        <v>53</v>
      </c>
    </row>
    <row r="286" ht="33" spans="1:14">
      <c r="A286" s="8" t="s">
        <v>1004</v>
      </c>
      <c r="B286" s="9">
        <v>33</v>
      </c>
      <c r="C286" s="9">
        <v>50</v>
      </c>
      <c r="D286" s="9" t="s">
        <v>924</v>
      </c>
      <c r="E286" s="9">
        <v>26</v>
      </c>
      <c r="F286" s="9" t="s">
        <v>1005</v>
      </c>
      <c r="G286" s="10" t="s">
        <v>473</v>
      </c>
      <c r="H286" s="8" t="s">
        <v>26</v>
      </c>
      <c r="I286" s="12">
        <v>40000</v>
      </c>
      <c r="J286" s="13" t="s">
        <v>19</v>
      </c>
      <c r="K286" s="9" t="s">
        <v>266</v>
      </c>
      <c r="L286" s="9" t="s">
        <v>1006</v>
      </c>
      <c r="M286" s="5" t="str">
        <f>_xlfn.XLOOKUP(N286,enums!$C:$C,enums!$B:$B,"")</f>
        <v>狂热跑车</v>
      </c>
      <c r="N286" s="6" t="s">
        <v>33</v>
      </c>
    </row>
    <row r="287" ht="33" spans="1:14">
      <c r="A287" s="8" t="s">
        <v>1007</v>
      </c>
      <c r="B287" s="9">
        <v>34</v>
      </c>
      <c r="C287" s="9">
        <v>19</v>
      </c>
      <c r="D287" s="9" t="s">
        <v>1008</v>
      </c>
      <c r="E287" s="9">
        <v>1</v>
      </c>
      <c r="F287" s="9" t="s">
        <v>1009</v>
      </c>
      <c r="G287" s="10" t="s">
        <v>71</v>
      </c>
      <c r="H287" s="8" t="s">
        <v>26</v>
      </c>
      <c r="I287" s="12">
        <v>65000</v>
      </c>
      <c r="J287" s="13" t="s">
        <v>19</v>
      </c>
      <c r="K287" s="9" t="s">
        <v>921</v>
      </c>
      <c r="L287" s="9" t="s">
        <v>1010</v>
      </c>
      <c r="M287" s="5" t="str">
        <f>_xlfn.XLOOKUP(N287,enums!$C:$C,enums!$B:$B,"")</f>
        <v>多功能英雄车</v>
      </c>
      <c r="N287" s="6" t="s">
        <v>478</v>
      </c>
    </row>
    <row r="288" ht="33" spans="1:14">
      <c r="A288" s="8" t="s">
        <v>1011</v>
      </c>
      <c r="B288" s="9">
        <v>34</v>
      </c>
      <c r="C288" s="9">
        <v>19</v>
      </c>
      <c r="D288" s="9" t="s">
        <v>1008</v>
      </c>
      <c r="E288" s="9">
        <v>2</v>
      </c>
      <c r="F288" s="9" t="s">
        <v>1012</v>
      </c>
      <c r="G288" s="10" t="s">
        <v>71</v>
      </c>
      <c r="H288" s="8" t="s">
        <v>26</v>
      </c>
      <c r="I288" s="12">
        <v>81000</v>
      </c>
      <c r="J288" s="14" t="s">
        <v>39</v>
      </c>
      <c r="K288" s="9" t="s">
        <v>921</v>
      </c>
      <c r="L288" s="9" t="s">
        <v>133</v>
      </c>
      <c r="M288" s="5" t="str">
        <f>_xlfn.XLOOKUP(N288,enums!$C:$C,enums!$B:$B,"")</f>
        <v>现代肌肉车</v>
      </c>
      <c r="N288" s="6" t="s">
        <v>396</v>
      </c>
    </row>
    <row r="289" ht="33" spans="1:14">
      <c r="A289" s="8" t="s">
        <v>1013</v>
      </c>
      <c r="B289" s="9">
        <v>35</v>
      </c>
      <c r="C289" s="9">
        <v>86</v>
      </c>
      <c r="D289" s="9" t="s">
        <v>1014</v>
      </c>
      <c r="E289" s="9">
        <v>1</v>
      </c>
      <c r="F289" s="9" t="s">
        <v>1015</v>
      </c>
      <c r="G289" s="10" t="s">
        <v>37</v>
      </c>
      <c r="H289" s="8" t="s">
        <v>26</v>
      </c>
      <c r="I289" s="12">
        <v>22000</v>
      </c>
      <c r="J289" s="14" t="s">
        <v>39</v>
      </c>
      <c r="K289" s="9" t="s">
        <v>1016</v>
      </c>
      <c r="L289" s="9" t="s">
        <v>1017</v>
      </c>
      <c r="M289" s="5" t="str">
        <f>_xlfn.XLOOKUP(N289,enums!$C:$C,enums!$B:$B,"")</f>
        <v>运动型多功能英雄车</v>
      </c>
      <c r="N289" s="6" t="s">
        <v>150</v>
      </c>
    </row>
    <row r="290" ht="33" spans="1:14">
      <c r="A290" s="8" t="s">
        <v>1018</v>
      </c>
      <c r="B290" s="9">
        <v>35</v>
      </c>
      <c r="C290" s="9">
        <v>86</v>
      </c>
      <c r="D290" s="9" t="s">
        <v>1014</v>
      </c>
      <c r="E290" s="9">
        <v>2</v>
      </c>
      <c r="F290" s="9" t="s">
        <v>1019</v>
      </c>
      <c r="G290" s="10" t="s">
        <v>44</v>
      </c>
      <c r="H290" s="8" t="s">
        <v>26</v>
      </c>
      <c r="I290" s="12">
        <v>325000</v>
      </c>
      <c r="J290" s="14" t="s">
        <v>39</v>
      </c>
      <c r="K290" s="9" t="s">
        <v>1016</v>
      </c>
      <c r="L290" s="9" t="s">
        <v>1020</v>
      </c>
      <c r="M290" s="5" t="str">
        <f>_xlfn.XLOOKUP(N290,enums!$C:$C,enums!$B:$B,"")</f>
        <v>赛道玩具</v>
      </c>
      <c r="N290" s="6" t="s">
        <v>273</v>
      </c>
    </row>
    <row r="291" ht="33" spans="1:14">
      <c r="A291" s="8" t="s">
        <v>1021</v>
      </c>
      <c r="B291" s="9">
        <v>35</v>
      </c>
      <c r="C291" s="9">
        <v>86</v>
      </c>
      <c r="D291" s="9" t="s">
        <v>1014</v>
      </c>
      <c r="E291" s="9">
        <v>3</v>
      </c>
      <c r="F291" s="9" t="s">
        <v>1022</v>
      </c>
      <c r="G291" s="10" t="s">
        <v>61</v>
      </c>
      <c r="H291" s="8" t="s">
        <v>26</v>
      </c>
      <c r="I291" s="12">
        <v>48000</v>
      </c>
      <c r="J291" s="14" t="s">
        <v>39</v>
      </c>
      <c r="K291" s="9" t="s">
        <v>1016</v>
      </c>
      <c r="L291" s="9" t="s">
        <v>1023</v>
      </c>
      <c r="M291" s="5" t="str">
        <f>_xlfn.XLOOKUP(N291,enums!$C:$C,enums!$B:$B,"")</f>
        <v>高性能掀背车</v>
      </c>
      <c r="N291" s="6" t="s">
        <v>22</v>
      </c>
    </row>
    <row r="292" ht="33" spans="1:14">
      <c r="A292" s="8" t="s">
        <v>1024</v>
      </c>
      <c r="B292" s="9">
        <v>35</v>
      </c>
      <c r="C292" s="9">
        <v>86</v>
      </c>
      <c r="D292" s="9" t="s">
        <v>1014</v>
      </c>
      <c r="E292" s="9">
        <v>4</v>
      </c>
      <c r="F292" s="9" t="s">
        <v>1025</v>
      </c>
      <c r="G292" s="10" t="s">
        <v>191</v>
      </c>
      <c r="H292" s="8" t="s">
        <v>26</v>
      </c>
      <c r="I292" s="12">
        <v>32000</v>
      </c>
      <c r="J292" s="14" t="s">
        <v>39</v>
      </c>
      <c r="K292" s="9" t="s">
        <v>1016</v>
      </c>
      <c r="L292" s="9" t="s">
        <v>1026</v>
      </c>
      <c r="M292" s="5" t="str">
        <f>_xlfn.XLOOKUP(N292,enums!$C:$C,enums!$B:$B,"")</f>
        <v>超高性能掀背车</v>
      </c>
      <c r="N292" s="6" t="s">
        <v>226</v>
      </c>
    </row>
    <row r="293" ht="33" spans="1:14">
      <c r="A293" s="8" t="s">
        <v>1027</v>
      </c>
      <c r="B293" s="9">
        <v>35</v>
      </c>
      <c r="C293" s="9">
        <v>86</v>
      </c>
      <c r="D293" s="9" t="s">
        <v>1014</v>
      </c>
      <c r="E293" s="9">
        <v>5</v>
      </c>
      <c r="F293" s="9" t="s">
        <v>1028</v>
      </c>
      <c r="G293" s="10" t="s">
        <v>123</v>
      </c>
      <c r="H293" s="8" t="s">
        <v>38</v>
      </c>
      <c r="I293" s="12">
        <v>20000</v>
      </c>
      <c r="J293" s="15" t="s">
        <v>46</v>
      </c>
      <c r="K293" s="9" t="s">
        <v>1016</v>
      </c>
      <c r="L293" s="9" t="s">
        <v>98</v>
      </c>
      <c r="M293" s="5" t="str">
        <f>_xlfn.XLOOKUP(N293,enums!$C:$C,enums!$B:$B,"")</f>
        <v>超高性能掀背车</v>
      </c>
      <c r="N293" s="6" t="s">
        <v>226</v>
      </c>
    </row>
    <row r="294" ht="33" spans="1:14">
      <c r="A294" s="8" t="s">
        <v>1029</v>
      </c>
      <c r="B294" s="9">
        <v>36</v>
      </c>
      <c r="C294" s="9">
        <v>60</v>
      </c>
      <c r="D294" s="9" t="s">
        <v>1030</v>
      </c>
      <c r="E294" s="9">
        <v>1</v>
      </c>
      <c r="F294" s="9" t="s">
        <v>1031</v>
      </c>
      <c r="G294" s="10" t="s">
        <v>229</v>
      </c>
      <c r="H294" s="8" t="s">
        <v>26</v>
      </c>
      <c r="I294" s="12">
        <v>3200000</v>
      </c>
      <c r="J294" s="16" t="s">
        <v>91</v>
      </c>
      <c r="K294" s="9" t="s">
        <v>132</v>
      </c>
      <c r="L294" s="9" t="s">
        <v>233</v>
      </c>
      <c r="M294" s="5" t="str">
        <f>_xlfn.XLOOKUP(N294,enums!$C:$C,enums!$B:$B,"")</f>
        <v>现代超级跑车</v>
      </c>
      <c r="N294" s="6" t="s">
        <v>48</v>
      </c>
    </row>
    <row r="295" ht="33" spans="1:14">
      <c r="A295" s="8" t="s">
        <v>1032</v>
      </c>
      <c r="B295" s="9">
        <v>36</v>
      </c>
      <c r="C295" s="9">
        <v>60</v>
      </c>
      <c r="D295" s="9" t="s">
        <v>1030</v>
      </c>
      <c r="E295" s="9">
        <v>2</v>
      </c>
      <c r="F295" s="9" t="s">
        <v>1033</v>
      </c>
      <c r="G295" s="10" t="s">
        <v>265</v>
      </c>
      <c r="H295" s="8" t="s">
        <v>26</v>
      </c>
      <c r="I295" s="12">
        <v>540000</v>
      </c>
      <c r="J295" s="14" t="s">
        <v>39</v>
      </c>
      <c r="K295" s="9" t="s">
        <v>132</v>
      </c>
      <c r="L295" s="9" t="s">
        <v>1034</v>
      </c>
      <c r="M295" s="5" t="str">
        <f>_xlfn.XLOOKUP(N295,enums!$C:$C,enums!$B:$B,"")</f>
        <v>复古超级轿车</v>
      </c>
      <c r="N295" s="6" t="s">
        <v>378</v>
      </c>
    </row>
    <row r="296" ht="33" spans="1:14">
      <c r="A296" s="8" t="s">
        <v>1035</v>
      </c>
      <c r="B296" s="9">
        <v>36</v>
      </c>
      <c r="C296" s="9">
        <v>60</v>
      </c>
      <c r="D296" s="9" t="s">
        <v>1030</v>
      </c>
      <c r="E296" s="9">
        <v>3</v>
      </c>
      <c r="F296" s="9" t="s">
        <v>1036</v>
      </c>
      <c r="G296" s="10" t="s">
        <v>265</v>
      </c>
      <c r="H296" s="8" t="s">
        <v>26</v>
      </c>
      <c r="I296" s="12">
        <v>570000</v>
      </c>
      <c r="J296" s="16" t="s">
        <v>91</v>
      </c>
      <c r="K296" s="9" t="s">
        <v>132</v>
      </c>
      <c r="L296" s="9" t="s">
        <v>777</v>
      </c>
      <c r="M296" s="5" t="str">
        <f>_xlfn.XLOOKUP(N296,enums!$C:$C,enums!$B:$B,"")</f>
        <v>复古超级轿车</v>
      </c>
      <c r="N296" s="6" t="s">
        <v>378</v>
      </c>
    </row>
    <row r="297" ht="49.5" spans="1:14">
      <c r="A297" s="8" t="s">
        <v>1037</v>
      </c>
      <c r="B297" s="9">
        <v>36</v>
      </c>
      <c r="C297" s="9">
        <v>60</v>
      </c>
      <c r="D297" s="9" t="s">
        <v>1030</v>
      </c>
      <c r="E297" s="9">
        <v>4</v>
      </c>
      <c r="F297" s="9" t="s">
        <v>1038</v>
      </c>
      <c r="G297" s="10" t="s">
        <v>893</v>
      </c>
      <c r="H297" s="8" t="s">
        <v>1039</v>
      </c>
      <c r="I297" s="12">
        <v>950000</v>
      </c>
      <c r="J297" s="16" t="s">
        <v>91</v>
      </c>
      <c r="K297" s="9" t="s">
        <v>132</v>
      </c>
      <c r="L297" s="9" t="s">
        <v>1040</v>
      </c>
      <c r="M297" s="5" t="str">
        <f>_xlfn.XLOOKUP(N297,enums!$C:$C,enums!$B:$B,"")</f>
        <v>复古超级轿车</v>
      </c>
      <c r="N297" s="6" t="s">
        <v>378</v>
      </c>
    </row>
    <row r="298" ht="33" spans="1:14">
      <c r="A298" s="8" t="s">
        <v>1041</v>
      </c>
      <c r="B298" s="9">
        <v>36</v>
      </c>
      <c r="C298" s="9">
        <v>60</v>
      </c>
      <c r="D298" s="9" t="s">
        <v>1030</v>
      </c>
      <c r="E298" s="9">
        <v>5</v>
      </c>
      <c r="F298" s="9" t="s">
        <v>1042</v>
      </c>
      <c r="G298" s="10" t="s">
        <v>173</v>
      </c>
      <c r="H298" s="8" t="s">
        <v>26</v>
      </c>
      <c r="I298" s="12">
        <v>7900000</v>
      </c>
      <c r="J298" s="16" t="s">
        <v>91</v>
      </c>
      <c r="K298" s="9" t="s">
        <v>132</v>
      </c>
      <c r="L298" s="9" t="s">
        <v>411</v>
      </c>
      <c r="M298" s="5" t="str">
        <f>_xlfn.XLOOKUP(N298,enums!$C:$C,enums!$B:$B,"")</f>
        <v>经典赛车</v>
      </c>
      <c r="N298" s="6" t="s">
        <v>93</v>
      </c>
    </row>
    <row r="299" ht="33" spans="1:14">
      <c r="A299" s="8" t="s">
        <v>1043</v>
      </c>
      <c r="B299" s="9">
        <v>36</v>
      </c>
      <c r="C299" s="9">
        <v>60</v>
      </c>
      <c r="D299" s="9" t="s">
        <v>1030</v>
      </c>
      <c r="E299" s="9">
        <v>6</v>
      </c>
      <c r="F299" s="9" t="s">
        <v>1044</v>
      </c>
      <c r="G299" s="10" t="s">
        <v>1045</v>
      </c>
      <c r="H299" s="8" t="s">
        <v>124</v>
      </c>
      <c r="I299" s="12">
        <v>250000</v>
      </c>
      <c r="J299" s="15" t="s">
        <v>46</v>
      </c>
      <c r="K299" s="9" t="s">
        <v>132</v>
      </c>
      <c r="L299" s="9" t="s">
        <v>1046</v>
      </c>
      <c r="M299" s="5" t="str">
        <f>_xlfn.XLOOKUP(N299,enums!$C:$C,enums!$B:$B,"")</f>
        <v>稀有经典车</v>
      </c>
      <c r="N299" s="6" t="s">
        <v>102</v>
      </c>
    </row>
    <row r="300" ht="33" spans="1:14">
      <c r="A300" s="8" t="s">
        <v>1047</v>
      </c>
      <c r="B300" s="9">
        <v>36</v>
      </c>
      <c r="C300" s="9">
        <v>60</v>
      </c>
      <c r="D300" s="9" t="s">
        <v>1030</v>
      </c>
      <c r="E300" s="9">
        <v>7</v>
      </c>
      <c r="F300" s="9" t="s">
        <v>1048</v>
      </c>
      <c r="G300" s="10" t="s">
        <v>1049</v>
      </c>
      <c r="H300" s="8" t="s">
        <v>26</v>
      </c>
      <c r="I300" s="12">
        <v>4300000</v>
      </c>
      <c r="J300" s="16" t="s">
        <v>91</v>
      </c>
      <c r="K300" s="9" t="s">
        <v>132</v>
      </c>
      <c r="L300" s="9" t="s">
        <v>1050</v>
      </c>
      <c r="M300" s="5" t="str">
        <f>_xlfn.XLOOKUP(N300,enums!$C:$C,enums!$B:$B,"")</f>
        <v>经典赛车</v>
      </c>
      <c r="N300" s="6" t="s">
        <v>93</v>
      </c>
    </row>
    <row r="301" spans="1:14">
      <c r="A301" s="8" t="s">
        <v>1051</v>
      </c>
      <c r="B301" s="9">
        <v>37</v>
      </c>
      <c r="C301" s="9">
        <v>20</v>
      </c>
      <c r="D301" s="9" t="s">
        <v>1052</v>
      </c>
      <c r="E301" s="9">
        <v>1</v>
      </c>
      <c r="F301" s="9" t="s">
        <v>1053</v>
      </c>
      <c r="G301" s="10" t="s">
        <v>191</v>
      </c>
      <c r="H301" s="8" t="s">
        <v>26</v>
      </c>
      <c r="I301" s="12">
        <v>36000</v>
      </c>
      <c r="J301" s="13" t="s">
        <v>19</v>
      </c>
      <c r="K301" s="9" t="s">
        <v>40</v>
      </c>
      <c r="L301" s="9" t="s">
        <v>1054</v>
      </c>
      <c r="M301" s="5" t="str">
        <f>_xlfn.XLOOKUP(N301,enums!$C:$C,enums!$B:$B,"")</f>
        <v>皮卡和四轮驱动车</v>
      </c>
      <c r="N301" s="6" t="s">
        <v>430</v>
      </c>
    </row>
    <row r="302" ht="33" spans="1:14">
      <c r="A302" s="8" t="s">
        <v>1055</v>
      </c>
      <c r="B302" s="9">
        <v>37</v>
      </c>
      <c r="C302" s="9">
        <v>20</v>
      </c>
      <c r="D302" s="9" t="s">
        <v>1052</v>
      </c>
      <c r="E302" s="9">
        <v>2</v>
      </c>
      <c r="F302" s="9" t="s">
        <v>1056</v>
      </c>
      <c r="G302" s="10" t="s">
        <v>198</v>
      </c>
      <c r="H302" s="8" t="s">
        <v>26</v>
      </c>
      <c r="I302" s="12">
        <v>72000</v>
      </c>
      <c r="J302" s="13" t="s">
        <v>19</v>
      </c>
      <c r="K302" s="9" t="s">
        <v>40</v>
      </c>
      <c r="L302" s="9" t="s">
        <v>559</v>
      </c>
      <c r="M302" s="5" t="str">
        <f>_xlfn.XLOOKUP(N302,enums!$C:$C,enums!$B:$B,"")</f>
        <v>运动型多功能英雄车</v>
      </c>
      <c r="N302" s="6" t="s">
        <v>150</v>
      </c>
    </row>
    <row r="303" spans="1:14">
      <c r="A303" s="8" t="s">
        <v>1057</v>
      </c>
      <c r="B303" s="9">
        <v>37</v>
      </c>
      <c r="C303" s="9">
        <v>20</v>
      </c>
      <c r="D303" s="9" t="s">
        <v>1052</v>
      </c>
      <c r="E303" s="9">
        <v>3</v>
      </c>
      <c r="F303" s="9" t="s">
        <v>1058</v>
      </c>
      <c r="G303" s="10" t="s">
        <v>17</v>
      </c>
      <c r="H303" s="8" t="s">
        <v>26</v>
      </c>
      <c r="I303" s="12">
        <v>70000</v>
      </c>
      <c r="J303" s="14" t="s">
        <v>39</v>
      </c>
      <c r="K303" s="9" t="s">
        <v>40</v>
      </c>
      <c r="L303" s="9" t="s">
        <v>78</v>
      </c>
      <c r="M303" s="5" t="str">
        <f>_xlfn.XLOOKUP(N303,enums!$C:$C,enums!$B:$B,"")</f>
        <v>无限制越野车</v>
      </c>
      <c r="N303" s="6" t="s">
        <v>107</v>
      </c>
    </row>
    <row r="304" spans="1:14">
      <c r="A304" s="8" t="s">
        <v>1059</v>
      </c>
      <c r="B304" s="9">
        <v>37</v>
      </c>
      <c r="C304" s="9">
        <v>20</v>
      </c>
      <c r="D304" s="9" t="s">
        <v>1052</v>
      </c>
      <c r="E304" s="9">
        <v>4</v>
      </c>
      <c r="F304" s="9" t="s">
        <v>1060</v>
      </c>
      <c r="G304" s="10" t="s">
        <v>329</v>
      </c>
      <c r="H304" s="8" t="s">
        <v>26</v>
      </c>
      <c r="I304" s="12">
        <v>16000</v>
      </c>
      <c r="J304" s="13" t="s">
        <v>19</v>
      </c>
      <c r="K304" s="9" t="s">
        <v>40</v>
      </c>
      <c r="L304" s="9" t="s">
        <v>1061</v>
      </c>
      <c r="M304" s="5" t="str">
        <f>_xlfn.XLOOKUP(N304,enums!$C:$C,enums!$B:$B,"")</f>
        <v>皮卡和四轮驱动车</v>
      </c>
      <c r="N304" s="6" t="s">
        <v>430</v>
      </c>
    </row>
    <row r="305" ht="33" spans="1:14">
      <c r="A305" s="8" t="s">
        <v>1062</v>
      </c>
      <c r="B305" s="9">
        <v>38</v>
      </c>
      <c r="C305" s="9">
        <v>21</v>
      </c>
      <c r="D305" s="9" t="s">
        <v>1063</v>
      </c>
      <c r="E305" s="9">
        <v>1</v>
      </c>
      <c r="F305" s="9" t="s">
        <v>1064</v>
      </c>
      <c r="G305" s="10" t="s">
        <v>191</v>
      </c>
      <c r="H305" s="8" t="s">
        <v>26</v>
      </c>
      <c r="I305" s="12">
        <v>95000</v>
      </c>
      <c r="J305" s="14" t="s">
        <v>39</v>
      </c>
      <c r="K305" s="9" t="s">
        <v>40</v>
      </c>
      <c r="L305" s="9" t="s">
        <v>330</v>
      </c>
      <c r="M305" s="5" t="str">
        <f>_xlfn.XLOOKUP(N305,enums!$C:$C,enums!$B:$B,"")</f>
        <v>无限制沙滩车</v>
      </c>
      <c r="N305" s="6" t="s">
        <v>111</v>
      </c>
    </row>
    <row r="306" ht="33" spans="1:14">
      <c r="A306" s="8" t="s">
        <v>1065</v>
      </c>
      <c r="B306" s="9">
        <v>38</v>
      </c>
      <c r="C306" s="9">
        <v>21</v>
      </c>
      <c r="D306" s="9" t="s">
        <v>1063</v>
      </c>
      <c r="E306" s="9">
        <v>2</v>
      </c>
      <c r="F306" s="9" t="s">
        <v>1066</v>
      </c>
      <c r="G306" s="10" t="s">
        <v>123</v>
      </c>
      <c r="H306" s="8" t="s">
        <v>26</v>
      </c>
      <c r="I306" s="12">
        <v>350000</v>
      </c>
      <c r="J306" s="15" t="s">
        <v>46</v>
      </c>
      <c r="K306" s="9" t="s">
        <v>40</v>
      </c>
      <c r="L306" s="9" t="s">
        <v>1067</v>
      </c>
      <c r="M306" s="5" t="str">
        <f>_xlfn.XLOOKUP(N306,enums!$C:$C,enums!$B:$B,"")</f>
        <v>无限制越野车</v>
      </c>
      <c r="N306" s="17" t="s">
        <v>107</v>
      </c>
    </row>
    <row r="307" ht="33" spans="1:14">
      <c r="A307" s="8" t="s">
        <v>1068</v>
      </c>
      <c r="B307" s="9">
        <v>39</v>
      </c>
      <c r="C307" s="9">
        <v>62</v>
      </c>
      <c r="D307" s="9" t="s">
        <v>1069</v>
      </c>
      <c r="E307" s="9">
        <v>1</v>
      </c>
      <c r="F307" s="9" t="s">
        <v>1070</v>
      </c>
      <c r="G307" s="10" t="s">
        <v>285</v>
      </c>
      <c r="H307" s="8" t="s">
        <v>178</v>
      </c>
      <c r="I307" s="12" t="s">
        <v>63</v>
      </c>
      <c r="J307" s="15" t="s">
        <v>46</v>
      </c>
      <c r="K307" s="9" t="s">
        <v>1071</v>
      </c>
      <c r="L307" s="9" t="s">
        <v>656</v>
      </c>
      <c r="M307" s="5" t="str">
        <f>_xlfn.XLOOKUP(N307,enums!$C:$C,enums!$B:$B,"")</f>
        <v>顶级超跑</v>
      </c>
      <c r="N307" s="6" t="s">
        <v>142</v>
      </c>
    </row>
    <row r="308" ht="33" spans="1:14">
      <c r="A308" s="8" t="s">
        <v>1072</v>
      </c>
      <c r="B308" s="9">
        <v>39</v>
      </c>
      <c r="C308" s="9">
        <v>62</v>
      </c>
      <c r="D308" s="9" t="s">
        <v>1069</v>
      </c>
      <c r="E308" s="9">
        <v>2</v>
      </c>
      <c r="F308" s="9" t="s">
        <v>1073</v>
      </c>
      <c r="G308" s="10" t="s">
        <v>191</v>
      </c>
      <c r="H308" s="8" t="s">
        <v>26</v>
      </c>
      <c r="I308" s="12">
        <v>3500000</v>
      </c>
      <c r="J308" s="16" t="s">
        <v>91</v>
      </c>
      <c r="K308" s="9" t="s">
        <v>1071</v>
      </c>
      <c r="L308" s="9" t="s">
        <v>1074</v>
      </c>
      <c r="M308" s="5" t="str">
        <f>_xlfn.XLOOKUP(N308,enums!$C:$C,enums!$B:$B,"")</f>
        <v>顶级超跑</v>
      </c>
      <c r="N308" s="6" t="s">
        <v>142</v>
      </c>
    </row>
    <row r="309" ht="49.5" spans="1:14">
      <c r="A309" s="8" t="s">
        <v>1075</v>
      </c>
      <c r="B309" s="9">
        <v>39</v>
      </c>
      <c r="C309" s="9">
        <v>62</v>
      </c>
      <c r="D309" s="9" t="s">
        <v>1069</v>
      </c>
      <c r="E309" s="9">
        <v>3</v>
      </c>
      <c r="F309" s="9" t="s">
        <v>1076</v>
      </c>
      <c r="G309" s="10" t="s">
        <v>67</v>
      </c>
      <c r="H309" s="8" t="s">
        <v>1077</v>
      </c>
      <c r="I309" s="12">
        <v>2900000</v>
      </c>
      <c r="J309" s="16" t="s">
        <v>91</v>
      </c>
      <c r="K309" s="9" t="s">
        <v>1071</v>
      </c>
      <c r="L309" s="9" t="s">
        <v>1078</v>
      </c>
      <c r="M309" s="5" t="str">
        <f>_xlfn.XLOOKUP(N309,enums!$C:$C,enums!$B:$B,"")</f>
        <v>顶级超跑</v>
      </c>
      <c r="N309" s="6" t="s">
        <v>142</v>
      </c>
    </row>
    <row r="310" ht="33" spans="1:14">
      <c r="A310" s="8" t="s">
        <v>1079</v>
      </c>
      <c r="B310" s="9">
        <v>39</v>
      </c>
      <c r="C310" s="9">
        <v>62</v>
      </c>
      <c r="D310" s="9" t="s">
        <v>1069</v>
      </c>
      <c r="E310" s="9">
        <v>4</v>
      </c>
      <c r="F310" s="9" t="s">
        <v>1080</v>
      </c>
      <c r="G310" s="10" t="s">
        <v>17</v>
      </c>
      <c r="H310" s="8" t="s">
        <v>72</v>
      </c>
      <c r="I310" s="12">
        <v>2550000</v>
      </c>
      <c r="J310" s="16" t="s">
        <v>91</v>
      </c>
      <c r="K310" s="9" t="s">
        <v>1071</v>
      </c>
      <c r="L310" s="9" t="s">
        <v>1081</v>
      </c>
      <c r="M310" s="5" t="str">
        <f>_xlfn.XLOOKUP(N310,enums!$C:$C,enums!$B:$B,"")</f>
        <v>顶级超跑</v>
      </c>
      <c r="N310" s="6" t="s">
        <v>142</v>
      </c>
    </row>
    <row r="311" ht="33" spans="1:14">
      <c r="A311" s="8" t="s">
        <v>1082</v>
      </c>
      <c r="B311" s="9">
        <v>39</v>
      </c>
      <c r="C311" s="9">
        <v>62</v>
      </c>
      <c r="D311" s="9" t="s">
        <v>1069</v>
      </c>
      <c r="E311" s="9">
        <v>5</v>
      </c>
      <c r="F311" s="9" t="s">
        <v>1083</v>
      </c>
      <c r="G311" s="10" t="s">
        <v>114</v>
      </c>
      <c r="H311" s="8" t="s">
        <v>124</v>
      </c>
      <c r="I311" s="12">
        <v>3750000</v>
      </c>
      <c r="J311" s="16" t="s">
        <v>91</v>
      </c>
      <c r="K311" s="9" t="s">
        <v>1071</v>
      </c>
      <c r="L311" s="9" t="s">
        <v>1078</v>
      </c>
      <c r="M311" s="5" t="str">
        <f>_xlfn.XLOOKUP(N311,enums!$C:$C,enums!$B:$B,"")</f>
        <v>顶级超跑</v>
      </c>
      <c r="N311" s="6" t="s">
        <v>142</v>
      </c>
    </row>
    <row r="312" ht="33" spans="1:14">
      <c r="A312" s="8" t="s">
        <v>1084</v>
      </c>
      <c r="B312" s="9">
        <v>39</v>
      </c>
      <c r="C312" s="9">
        <v>62</v>
      </c>
      <c r="D312" s="9" t="s">
        <v>1069</v>
      </c>
      <c r="E312" s="9">
        <v>6</v>
      </c>
      <c r="F312" s="9" t="s">
        <v>1085</v>
      </c>
      <c r="G312" s="10" t="s">
        <v>221</v>
      </c>
      <c r="H312" s="8" t="s">
        <v>26</v>
      </c>
      <c r="I312" s="12">
        <v>1950000</v>
      </c>
      <c r="J312" s="16" t="s">
        <v>91</v>
      </c>
      <c r="K312" s="9" t="s">
        <v>1071</v>
      </c>
      <c r="L312" s="9" t="s">
        <v>233</v>
      </c>
      <c r="M312" s="5" t="str">
        <f>_xlfn.XLOOKUP(N312,enums!$C:$C,enums!$B:$B,"")</f>
        <v>顶级超跑</v>
      </c>
      <c r="N312" s="6" t="s">
        <v>142</v>
      </c>
    </row>
    <row r="313" ht="33" spans="1:14">
      <c r="A313" s="8" t="s">
        <v>1086</v>
      </c>
      <c r="B313" s="9">
        <v>39</v>
      </c>
      <c r="C313" s="9">
        <v>62</v>
      </c>
      <c r="D313" s="9" t="s">
        <v>1069</v>
      </c>
      <c r="E313" s="9">
        <v>7</v>
      </c>
      <c r="F313" s="9" t="s">
        <v>1087</v>
      </c>
      <c r="G313" s="10" t="s">
        <v>341</v>
      </c>
      <c r="H313" s="8" t="s">
        <v>26</v>
      </c>
      <c r="I313" s="12">
        <v>3400000</v>
      </c>
      <c r="J313" s="16" t="s">
        <v>91</v>
      </c>
      <c r="K313" s="9" t="s">
        <v>1071</v>
      </c>
      <c r="L313" s="9" t="s">
        <v>656</v>
      </c>
      <c r="M313" s="5" t="str">
        <f>_xlfn.XLOOKUP(N313,enums!$C:$C,enums!$B:$B,"")</f>
        <v>极限赛道玩具</v>
      </c>
      <c r="N313" s="6" t="s">
        <v>127</v>
      </c>
    </row>
    <row r="314" spans="1:14">
      <c r="A314" s="8" t="s">
        <v>1088</v>
      </c>
      <c r="B314" s="9">
        <v>40</v>
      </c>
      <c r="C314" s="9">
        <v>22</v>
      </c>
      <c r="D314" s="9" t="s">
        <v>1089</v>
      </c>
      <c r="E314" s="9">
        <v>1</v>
      </c>
      <c r="F314" s="9" t="s">
        <v>1090</v>
      </c>
      <c r="G314" s="10" t="s">
        <v>198</v>
      </c>
      <c r="H314" s="8" t="s">
        <v>26</v>
      </c>
      <c r="I314" s="12">
        <v>90000</v>
      </c>
      <c r="J314" s="15" t="s">
        <v>46</v>
      </c>
      <c r="K314" s="9" t="s">
        <v>1091</v>
      </c>
      <c r="L314" s="9" t="s">
        <v>1092</v>
      </c>
      <c r="M314" s="5" t="str">
        <f>_xlfn.XLOOKUP(N314,enums!$C:$C,enums!$B:$B,"")</f>
        <v>极限赛道玩具</v>
      </c>
      <c r="N314" s="6" t="s">
        <v>127</v>
      </c>
    </row>
    <row r="315" ht="49.5" spans="1:14">
      <c r="A315" s="8" t="s">
        <v>1093</v>
      </c>
      <c r="B315" s="9">
        <v>41</v>
      </c>
      <c r="C315" s="9">
        <v>63</v>
      </c>
      <c r="D315" s="9" t="s">
        <v>1094</v>
      </c>
      <c r="E315" s="9">
        <v>1</v>
      </c>
      <c r="F315" s="9" t="s">
        <v>1095</v>
      </c>
      <c r="G315" s="10" t="s">
        <v>285</v>
      </c>
      <c r="H315" s="8" t="s">
        <v>1096</v>
      </c>
      <c r="I315" s="12">
        <v>365000</v>
      </c>
      <c r="J315" s="16" t="s">
        <v>91</v>
      </c>
      <c r="K315" s="9" t="s">
        <v>20</v>
      </c>
      <c r="L315" s="9" t="s">
        <v>1097</v>
      </c>
      <c r="M315" s="5" t="str">
        <f>_xlfn.XLOOKUP(N315,enums!$C:$C,enums!$B:$B,"")</f>
        <v>顶级超跑</v>
      </c>
      <c r="N315" s="6" t="s">
        <v>142</v>
      </c>
    </row>
    <row r="316" ht="49.5" spans="1:14">
      <c r="A316" s="8" t="s">
        <v>1098</v>
      </c>
      <c r="B316" s="9">
        <v>41</v>
      </c>
      <c r="C316" s="9">
        <v>63</v>
      </c>
      <c r="D316" s="9" t="s">
        <v>1094</v>
      </c>
      <c r="E316" s="9">
        <v>2</v>
      </c>
      <c r="F316" s="9" t="s">
        <v>1099</v>
      </c>
      <c r="G316" s="10" t="s">
        <v>37</v>
      </c>
      <c r="H316" s="8" t="s">
        <v>1100</v>
      </c>
      <c r="I316" s="12">
        <v>325000</v>
      </c>
      <c r="J316" s="16" t="s">
        <v>91</v>
      </c>
      <c r="K316" s="9" t="s">
        <v>20</v>
      </c>
      <c r="L316" s="9" t="s">
        <v>192</v>
      </c>
      <c r="M316" s="5" t="str">
        <f>_xlfn.XLOOKUP(N316,enums!$C:$C,enums!$B:$B,"")</f>
        <v>拉力赛怪物</v>
      </c>
      <c r="N316" s="17" t="s">
        <v>251</v>
      </c>
    </row>
    <row r="317" ht="33" spans="1:14">
      <c r="A317" s="8" t="s">
        <v>1101</v>
      </c>
      <c r="B317" s="9">
        <v>41</v>
      </c>
      <c r="C317" s="9">
        <v>63</v>
      </c>
      <c r="D317" s="9" t="s">
        <v>1094</v>
      </c>
      <c r="E317" s="9">
        <v>3</v>
      </c>
      <c r="F317" s="9" t="s">
        <v>1102</v>
      </c>
      <c r="G317" s="10" t="s">
        <v>44</v>
      </c>
      <c r="H317" s="8" t="s">
        <v>26</v>
      </c>
      <c r="I317" s="12">
        <v>365000</v>
      </c>
      <c r="J317" s="16" t="s">
        <v>91</v>
      </c>
      <c r="K317" s="9" t="s">
        <v>20</v>
      </c>
      <c r="L317" s="9" t="s">
        <v>1103</v>
      </c>
      <c r="M317" s="5" t="str">
        <f>_xlfn.XLOOKUP(N317,enums!$C:$C,enums!$B:$B,"")</f>
        <v>现代超级跑车</v>
      </c>
      <c r="N317" s="6" t="s">
        <v>48</v>
      </c>
    </row>
    <row r="318" ht="33" spans="1:14">
      <c r="A318" s="8" t="s">
        <v>1104</v>
      </c>
      <c r="B318" s="9">
        <v>41</v>
      </c>
      <c r="C318" s="9">
        <v>63</v>
      </c>
      <c r="D318" s="9" t="s">
        <v>1094</v>
      </c>
      <c r="E318" s="9">
        <v>4</v>
      </c>
      <c r="F318" s="9" t="s">
        <v>1105</v>
      </c>
      <c r="G318" s="10" t="s">
        <v>61</v>
      </c>
      <c r="H318" s="8" t="s">
        <v>1106</v>
      </c>
      <c r="I318" s="12">
        <v>800000</v>
      </c>
      <c r="J318" s="16" t="s">
        <v>91</v>
      </c>
      <c r="K318" s="9" t="s">
        <v>20</v>
      </c>
      <c r="L318" s="9" t="s">
        <v>1107</v>
      </c>
      <c r="M318" s="5" t="str">
        <f>_xlfn.XLOOKUP(N318,enums!$C:$C,enums!$B:$B,"")</f>
        <v>顶级超跑</v>
      </c>
      <c r="N318" s="17" t="s">
        <v>142</v>
      </c>
    </row>
    <row r="319" ht="33" spans="1:14">
      <c r="A319" s="8" t="s">
        <v>1108</v>
      </c>
      <c r="B319" s="9">
        <v>41</v>
      </c>
      <c r="C319" s="9">
        <v>63</v>
      </c>
      <c r="D319" s="9" t="s">
        <v>1094</v>
      </c>
      <c r="E319" s="9">
        <v>5</v>
      </c>
      <c r="F319" s="9" t="s">
        <v>1109</v>
      </c>
      <c r="G319" s="10" t="s">
        <v>61</v>
      </c>
      <c r="H319" s="8" t="s">
        <v>26</v>
      </c>
      <c r="I319" s="12">
        <v>2100000</v>
      </c>
      <c r="J319" s="16" t="s">
        <v>91</v>
      </c>
      <c r="K319" s="9" t="s">
        <v>20</v>
      </c>
      <c r="L319" s="9" t="s">
        <v>608</v>
      </c>
      <c r="M319" s="5" t="str">
        <f>_xlfn.XLOOKUP(N319,enums!$C:$C,enums!$B:$B,"")</f>
        <v>顶级超跑</v>
      </c>
      <c r="N319" s="6" t="s">
        <v>142</v>
      </c>
    </row>
    <row r="320" ht="33" spans="1:14">
      <c r="A320" s="8" t="s">
        <v>1110</v>
      </c>
      <c r="B320" s="9">
        <v>41</v>
      </c>
      <c r="C320" s="9">
        <v>63</v>
      </c>
      <c r="D320" s="9" t="s">
        <v>1094</v>
      </c>
      <c r="E320" s="9">
        <v>6</v>
      </c>
      <c r="F320" s="9" t="s">
        <v>1111</v>
      </c>
      <c r="G320" s="10" t="s">
        <v>191</v>
      </c>
      <c r="H320" s="8" t="s">
        <v>26</v>
      </c>
      <c r="I320" s="12">
        <v>1500000</v>
      </c>
      <c r="J320" s="16" t="s">
        <v>91</v>
      </c>
      <c r="K320" s="9" t="s">
        <v>20</v>
      </c>
      <c r="L320" s="9" t="s">
        <v>1112</v>
      </c>
      <c r="M320" s="5" t="str">
        <f>_xlfn.XLOOKUP(N320,enums!$C:$C,enums!$B:$B,"")</f>
        <v>极限赛道玩具</v>
      </c>
      <c r="N320" s="6" t="s">
        <v>127</v>
      </c>
    </row>
    <row r="321" ht="33" spans="1:14">
      <c r="A321" s="8" t="s">
        <v>1113</v>
      </c>
      <c r="B321" s="9">
        <v>41</v>
      </c>
      <c r="C321" s="9">
        <v>63</v>
      </c>
      <c r="D321" s="9" t="s">
        <v>1094</v>
      </c>
      <c r="E321" s="9">
        <v>7</v>
      </c>
      <c r="F321" s="9" t="s">
        <v>1114</v>
      </c>
      <c r="G321" s="10" t="s">
        <v>191</v>
      </c>
      <c r="H321" s="8" t="s">
        <v>26</v>
      </c>
      <c r="I321" s="12">
        <v>2500000</v>
      </c>
      <c r="J321" s="16" t="s">
        <v>91</v>
      </c>
      <c r="K321" s="9" t="s">
        <v>20</v>
      </c>
      <c r="L321" s="9" t="s">
        <v>1115</v>
      </c>
      <c r="M321" s="5" t="str">
        <f>_xlfn.XLOOKUP(N321,enums!$C:$C,enums!$B:$B,"")</f>
        <v>顶级超跑</v>
      </c>
      <c r="N321" s="6" t="s">
        <v>142</v>
      </c>
    </row>
    <row r="322" ht="33" spans="1:14">
      <c r="A322" s="8" t="s">
        <v>1116</v>
      </c>
      <c r="B322" s="9">
        <v>41</v>
      </c>
      <c r="C322" s="9">
        <v>63</v>
      </c>
      <c r="D322" s="9" t="s">
        <v>1094</v>
      </c>
      <c r="E322" s="9">
        <v>8</v>
      </c>
      <c r="F322" s="9" t="s">
        <v>1117</v>
      </c>
      <c r="G322" s="10" t="s">
        <v>191</v>
      </c>
      <c r="H322" s="8" t="s">
        <v>26</v>
      </c>
      <c r="I322" s="12">
        <v>325000</v>
      </c>
      <c r="J322" s="16" t="s">
        <v>91</v>
      </c>
      <c r="K322" s="9" t="s">
        <v>20</v>
      </c>
      <c r="L322" s="9" t="s">
        <v>844</v>
      </c>
      <c r="M322" s="5" t="str">
        <f>_xlfn.XLOOKUP(N322,enums!$C:$C,enums!$B:$B,"")</f>
        <v>赛道玩具</v>
      </c>
      <c r="N322" s="6" t="s">
        <v>273</v>
      </c>
    </row>
    <row r="323" ht="33" spans="1:14">
      <c r="A323" s="8" t="s">
        <v>1118</v>
      </c>
      <c r="B323" s="9">
        <v>41</v>
      </c>
      <c r="C323" s="9">
        <v>63</v>
      </c>
      <c r="D323" s="9" t="s">
        <v>1094</v>
      </c>
      <c r="E323" s="9">
        <v>9</v>
      </c>
      <c r="F323" s="9" t="s">
        <v>1119</v>
      </c>
      <c r="G323" s="10" t="s">
        <v>191</v>
      </c>
      <c r="H323" s="8" t="s">
        <v>18</v>
      </c>
      <c r="I323" s="12">
        <v>250000</v>
      </c>
      <c r="J323" s="15" t="s">
        <v>46</v>
      </c>
      <c r="K323" s="9" t="s">
        <v>20</v>
      </c>
      <c r="L323" s="9" t="s">
        <v>1120</v>
      </c>
      <c r="M323" s="5" t="str">
        <f>_xlfn.XLOOKUP(N323,enums!$C:$C,enums!$B:$B,"")</f>
        <v>现代超级跑车</v>
      </c>
      <c r="N323" s="6" t="s">
        <v>48</v>
      </c>
    </row>
    <row r="324" ht="49.5" spans="1:14">
      <c r="A324" s="8" t="s">
        <v>1121</v>
      </c>
      <c r="B324" s="9">
        <v>41</v>
      </c>
      <c r="C324" s="9">
        <v>63</v>
      </c>
      <c r="D324" s="9" t="s">
        <v>1094</v>
      </c>
      <c r="E324" s="9">
        <v>10</v>
      </c>
      <c r="F324" s="9" t="s">
        <v>1122</v>
      </c>
      <c r="G324" s="10" t="s">
        <v>123</v>
      </c>
      <c r="H324" s="8" t="s">
        <v>1123</v>
      </c>
      <c r="I324" s="12">
        <v>200000</v>
      </c>
      <c r="J324" s="14" t="s">
        <v>39</v>
      </c>
      <c r="K324" s="9" t="s">
        <v>20</v>
      </c>
      <c r="L324" s="9" t="s">
        <v>1124</v>
      </c>
      <c r="M324" s="5" t="str">
        <f>_xlfn.XLOOKUP(N324,enums!$C:$C,enums!$B:$B,"")</f>
        <v>运动型多功能英雄车</v>
      </c>
      <c r="N324" s="6" t="s">
        <v>150</v>
      </c>
    </row>
    <row r="325" ht="33" spans="1:14">
      <c r="A325" s="8" t="s">
        <v>1125</v>
      </c>
      <c r="B325" s="9">
        <v>41</v>
      </c>
      <c r="C325" s="9">
        <v>63</v>
      </c>
      <c r="D325" s="9" t="s">
        <v>1094</v>
      </c>
      <c r="E325" s="9">
        <v>11</v>
      </c>
      <c r="F325" s="9" t="s">
        <v>1126</v>
      </c>
      <c r="G325" s="10" t="s">
        <v>198</v>
      </c>
      <c r="H325" s="8" t="s">
        <v>26</v>
      </c>
      <c r="I325" s="12">
        <v>1200000</v>
      </c>
      <c r="J325" s="16" t="s">
        <v>91</v>
      </c>
      <c r="K325" s="9" t="s">
        <v>20</v>
      </c>
      <c r="L325" s="9" t="s">
        <v>1107</v>
      </c>
      <c r="M325" s="5" t="str">
        <f>_xlfn.XLOOKUP(N325,enums!$C:$C,enums!$B:$B,"")</f>
        <v>顶级超跑</v>
      </c>
      <c r="N325" s="6" t="s">
        <v>142</v>
      </c>
    </row>
    <row r="326" ht="33" spans="1:14">
      <c r="A326" s="8" t="s">
        <v>1127</v>
      </c>
      <c r="B326" s="9">
        <v>41</v>
      </c>
      <c r="C326" s="9">
        <v>63</v>
      </c>
      <c r="D326" s="9" t="s">
        <v>1094</v>
      </c>
      <c r="E326" s="9">
        <v>12</v>
      </c>
      <c r="F326" s="9" t="s">
        <v>1128</v>
      </c>
      <c r="G326" s="10" t="s">
        <v>17</v>
      </c>
      <c r="H326" s="8" t="s">
        <v>169</v>
      </c>
      <c r="I326" s="12">
        <v>1750000</v>
      </c>
      <c r="J326" s="16" t="s">
        <v>91</v>
      </c>
      <c r="K326" s="9" t="s">
        <v>20</v>
      </c>
      <c r="L326" s="9" t="s">
        <v>1129</v>
      </c>
      <c r="M326" s="5" t="str">
        <f>_xlfn.XLOOKUP(N326,enums!$C:$C,enums!$B:$B,"")</f>
        <v>顶级超跑</v>
      </c>
      <c r="N326" s="6" t="s">
        <v>142</v>
      </c>
    </row>
    <row r="327" ht="33" spans="1:14">
      <c r="A327" s="8" t="s">
        <v>1130</v>
      </c>
      <c r="B327" s="9">
        <v>41</v>
      </c>
      <c r="C327" s="9">
        <v>63</v>
      </c>
      <c r="D327" s="9" t="s">
        <v>1094</v>
      </c>
      <c r="E327" s="9">
        <v>13</v>
      </c>
      <c r="F327" s="9" t="s">
        <v>1131</v>
      </c>
      <c r="G327" s="10" t="s">
        <v>71</v>
      </c>
      <c r="H327" s="8" t="s">
        <v>169</v>
      </c>
      <c r="I327" s="12">
        <v>200000</v>
      </c>
      <c r="J327" s="15" t="s">
        <v>46</v>
      </c>
      <c r="K327" s="9" t="s">
        <v>20</v>
      </c>
      <c r="L327" s="9" t="s">
        <v>192</v>
      </c>
      <c r="M327" s="5" t="str">
        <f>_xlfn.XLOOKUP(N327,enums!$C:$C,enums!$B:$B,"")</f>
        <v>现代超级跑车</v>
      </c>
      <c r="N327" s="6" t="s">
        <v>48</v>
      </c>
    </row>
    <row r="328" ht="33" spans="1:14">
      <c r="A328" s="8" t="s">
        <v>1132</v>
      </c>
      <c r="B328" s="9">
        <v>41</v>
      </c>
      <c r="C328" s="9">
        <v>63</v>
      </c>
      <c r="D328" s="9" t="s">
        <v>1094</v>
      </c>
      <c r="E328" s="9">
        <v>14</v>
      </c>
      <c r="F328" s="9" t="s">
        <v>1133</v>
      </c>
      <c r="G328" s="10" t="s">
        <v>136</v>
      </c>
      <c r="H328" s="8" t="s">
        <v>26</v>
      </c>
      <c r="I328" s="12">
        <v>3950000</v>
      </c>
      <c r="J328" s="16" t="s">
        <v>91</v>
      </c>
      <c r="K328" s="9" t="s">
        <v>20</v>
      </c>
      <c r="L328" s="9" t="s">
        <v>1134</v>
      </c>
      <c r="M328" s="5" t="str">
        <f>_xlfn.XLOOKUP(N328,enums!$C:$C,enums!$B:$B,"")</f>
        <v>顶级超跑</v>
      </c>
      <c r="N328" s="6" t="s">
        <v>142</v>
      </c>
    </row>
    <row r="329" ht="33" spans="1:14">
      <c r="A329" s="8" t="s">
        <v>1135</v>
      </c>
      <c r="B329" s="9">
        <v>41</v>
      </c>
      <c r="C329" s="9">
        <v>63</v>
      </c>
      <c r="D329" s="9" t="s">
        <v>1094</v>
      </c>
      <c r="E329" s="9">
        <v>15</v>
      </c>
      <c r="F329" s="9" t="s">
        <v>1136</v>
      </c>
      <c r="G329" s="10" t="s">
        <v>329</v>
      </c>
      <c r="H329" s="8" t="s">
        <v>124</v>
      </c>
      <c r="I329" s="12">
        <v>345000</v>
      </c>
      <c r="J329" s="15" t="s">
        <v>46</v>
      </c>
      <c r="K329" s="9" t="s">
        <v>20</v>
      </c>
      <c r="L329" s="9" t="s">
        <v>1137</v>
      </c>
      <c r="M329" s="5" t="str">
        <f>_xlfn.XLOOKUP(N329,enums!$C:$C,enums!$B:$B,"")</f>
        <v>顶级超跑</v>
      </c>
      <c r="N329" s="6" t="s">
        <v>142</v>
      </c>
    </row>
    <row r="330" ht="33" spans="1:14">
      <c r="A330" s="8" t="s">
        <v>1138</v>
      </c>
      <c r="B330" s="9">
        <v>41</v>
      </c>
      <c r="C330" s="9">
        <v>63</v>
      </c>
      <c r="D330" s="9" t="s">
        <v>1094</v>
      </c>
      <c r="E330" s="9">
        <v>16</v>
      </c>
      <c r="F330" s="9" t="s">
        <v>1139</v>
      </c>
      <c r="G330" s="10" t="s">
        <v>329</v>
      </c>
      <c r="H330" s="8" t="s">
        <v>26</v>
      </c>
      <c r="I330" s="12">
        <v>210000</v>
      </c>
      <c r="J330" s="15" t="s">
        <v>46</v>
      </c>
      <c r="K330" s="9" t="s">
        <v>20</v>
      </c>
      <c r="L330" s="9" t="s">
        <v>1140</v>
      </c>
      <c r="M330" s="5" t="str">
        <f>_xlfn.XLOOKUP(N330,enums!$C:$C,enums!$B:$B,"")</f>
        <v>现代超级跑车</v>
      </c>
      <c r="N330" s="6" t="s">
        <v>48</v>
      </c>
    </row>
    <row r="331" ht="33" spans="1:14">
      <c r="A331" s="8" t="s">
        <v>1141</v>
      </c>
      <c r="B331" s="9">
        <v>41</v>
      </c>
      <c r="C331" s="9">
        <v>63</v>
      </c>
      <c r="D331" s="9" t="s">
        <v>1094</v>
      </c>
      <c r="E331" s="9">
        <v>17</v>
      </c>
      <c r="F331" s="9" t="s">
        <v>1142</v>
      </c>
      <c r="G331" s="10" t="s">
        <v>221</v>
      </c>
      <c r="H331" s="8" t="s">
        <v>124</v>
      </c>
      <c r="I331" s="12">
        <v>2500000</v>
      </c>
      <c r="J331" s="16" t="s">
        <v>91</v>
      </c>
      <c r="K331" s="9" t="s">
        <v>20</v>
      </c>
      <c r="L331" s="9" t="s">
        <v>903</v>
      </c>
      <c r="M331" s="5" t="str">
        <f>_xlfn.XLOOKUP(N331,enums!$C:$C,enums!$B:$B,"")</f>
        <v>极限赛道玩具</v>
      </c>
      <c r="N331" s="6" t="s">
        <v>127</v>
      </c>
    </row>
    <row r="332" ht="33" spans="1:14">
      <c r="A332" s="8" t="s">
        <v>1143</v>
      </c>
      <c r="B332" s="9">
        <v>41</v>
      </c>
      <c r="C332" s="9">
        <v>63</v>
      </c>
      <c r="D332" s="9" t="s">
        <v>1094</v>
      </c>
      <c r="E332" s="9">
        <v>18</v>
      </c>
      <c r="F332" s="9" t="s">
        <v>1144</v>
      </c>
      <c r="G332" s="10" t="s">
        <v>229</v>
      </c>
      <c r="H332" s="8" t="s">
        <v>26</v>
      </c>
      <c r="I332" s="12">
        <v>1000000</v>
      </c>
      <c r="J332" s="15" t="s">
        <v>46</v>
      </c>
      <c r="K332" s="9" t="s">
        <v>20</v>
      </c>
      <c r="L332" s="9" t="s">
        <v>533</v>
      </c>
      <c r="M332" s="5" t="str">
        <f>_xlfn.XLOOKUP(N332,enums!$C:$C,enums!$B:$B,"")</f>
        <v>现代超级跑车</v>
      </c>
      <c r="N332" s="6" t="s">
        <v>48</v>
      </c>
    </row>
    <row r="333" ht="33" spans="1:14">
      <c r="A333" s="8" t="s">
        <v>1145</v>
      </c>
      <c r="B333" s="9">
        <v>41</v>
      </c>
      <c r="C333" s="9">
        <v>63</v>
      </c>
      <c r="D333" s="9" t="s">
        <v>1094</v>
      </c>
      <c r="E333" s="9">
        <v>19</v>
      </c>
      <c r="F333" s="9" t="s">
        <v>1146</v>
      </c>
      <c r="G333" s="10" t="s">
        <v>568</v>
      </c>
      <c r="H333" s="8" t="s">
        <v>124</v>
      </c>
      <c r="I333" s="12">
        <v>680000</v>
      </c>
      <c r="J333" s="15" t="s">
        <v>46</v>
      </c>
      <c r="K333" s="9" t="s">
        <v>20</v>
      </c>
      <c r="L333" s="9" t="s">
        <v>1147</v>
      </c>
      <c r="M333" s="5" t="str">
        <f>_xlfn.XLOOKUP(N333,enums!$C:$C,enums!$B:$B,"")</f>
        <v>极限赛道玩具</v>
      </c>
      <c r="N333" s="6" t="s">
        <v>127</v>
      </c>
    </row>
    <row r="334" ht="33" spans="1:14">
      <c r="A334" s="8" t="s">
        <v>1148</v>
      </c>
      <c r="B334" s="9">
        <v>41</v>
      </c>
      <c r="C334" s="9">
        <v>63</v>
      </c>
      <c r="D334" s="9" t="s">
        <v>1094</v>
      </c>
      <c r="E334" s="9">
        <v>20</v>
      </c>
      <c r="F334" s="9" t="s">
        <v>1149</v>
      </c>
      <c r="G334" s="10" t="s">
        <v>355</v>
      </c>
      <c r="H334" s="8" t="s">
        <v>1150</v>
      </c>
      <c r="I334" s="12">
        <v>375000</v>
      </c>
      <c r="J334" s="9" t="s">
        <v>804</v>
      </c>
      <c r="K334" s="9" t="s">
        <v>20</v>
      </c>
      <c r="L334" s="9" t="s">
        <v>278</v>
      </c>
      <c r="M334" s="5" t="str">
        <f>_xlfn.XLOOKUP(N334,enums!$C:$C,enums!$B:$B,"")</f>
        <v>复古超级轿车</v>
      </c>
      <c r="N334" s="6" t="s">
        <v>378</v>
      </c>
    </row>
    <row r="335" ht="33" spans="1:14">
      <c r="A335" s="8" t="s">
        <v>1151</v>
      </c>
      <c r="B335" s="9">
        <v>41</v>
      </c>
      <c r="C335" s="9">
        <v>63</v>
      </c>
      <c r="D335" s="9" t="s">
        <v>1094</v>
      </c>
      <c r="E335" s="9">
        <v>21</v>
      </c>
      <c r="F335" s="9" t="s">
        <v>1152</v>
      </c>
      <c r="G335" s="10" t="s">
        <v>367</v>
      </c>
      <c r="H335" s="8" t="s">
        <v>18</v>
      </c>
      <c r="I335" s="12">
        <v>600000</v>
      </c>
      <c r="J335" s="15" t="s">
        <v>46</v>
      </c>
      <c r="K335" s="9" t="s">
        <v>20</v>
      </c>
      <c r="L335" s="9" t="s">
        <v>1153</v>
      </c>
      <c r="M335" s="5" t="str">
        <f>_xlfn.XLOOKUP(N335,enums!$C:$C,enums!$B:$B,"")</f>
        <v>复古超级轿车</v>
      </c>
      <c r="N335" s="6" t="s">
        <v>378</v>
      </c>
    </row>
    <row r="336" ht="33" spans="1:14">
      <c r="A336" s="8" t="s">
        <v>1154</v>
      </c>
      <c r="B336" s="9">
        <v>41</v>
      </c>
      <c r="C336" s="9">
        <v>63</v>
      </c>
      <c r="D336" s="9" t="s">
        <v>1094</v>
      </c>
      <c r="E336" s="9">
        <v>22</v>
      </c>
      <c r="F336" s="9" t="s">
        <v>1155</v>
      </c>
      <c r="G336" s="10" t="s">
        <v>492</v>
      </c>
      <c r="H336" s="8" t="s">
        <v>26</v>
      </c>
      <c r="I336" s="12">
        <v>1700000</v>
      </c>
      <c r="J336" s="16" t="s">
        <v>91</v>
      </c>
      <c r="K336" s="9" t="s">
        <v>20</v>
      </c>
      <c r="L336" s="9" t="s">
        <v>1156</v>
      </c>
      <c r="M336" s="5" t="str">
        <f>_xlfn.XLOOKUP(N336,enums!$C:$C,enums!$B:$B,"")</f>
        <v>稀有经典车</v>
      </c>
      <c r="N336" s="6" t="s">
        <v>102</v>
      </c>
    </row>
    <row r="337" ht="33" spans="1:14">
      <c r="A337" s="8" t="s">
        <v>1157</v>
      </c>
      <c r="B337" s="9">
        <v>42</v>
      </c>
      <c r="C337" s="9">
        <v>64</v>
      </c>
      <c r="D337" s="9" t="s">
        <v>1158</v>
      </c>
      <c r="E337" s="9">
        <v>1</v>
      </c>
      <c r="F337" s="9" t="s">
        <v>1159</v>
      </c>
      <c r="G337" s="10" t="s">
        <v>82</v>
      </c>
      <c r="H337" s="8" t="s">
        <v>26</v>
      </c>
      <c r="I337" s="12">
        <v>110000</v>
      </c>
      <c r="J337" s="13" t="s">
        <v>19</v>
      </c>
      <c r="K337" s="9" t="s">
        <v>20</v>
      </c>
      <c r="L337" s="9" t="s">
        <v>1160</v>
      </c>
      <c r="M337" s="5" t="str">
        <f>_xlfn.XLOOKUP(N337,enums!$C:$C,enums!$B:$B,"")</f>
        <v>复古拉力赛车</v>
      </c>
      <c r="N337" s="6" t="s">
        <v>256</v>
      </c>
    </row>
    <row r="338" ht="33" spans="1:14">
      <c r="A338" s="8" t="s">
        <v>1161</v>
      </c>
      <c r="B338" s="9">
        <v>42</v>
      </c>
      <c r="C338" s="9">
        <v>64</v>
      </c>
      <c r="D338" s="9" t="s">
        <v>1158</v>
      </c>
      <c r="E338" s="9">
        <v>2</v>
      </c>
      <c r="F338" s="9" t="s">
        <v>1162</v>
      </c>
      <c r="G338" s="10" t="s">
        <v>249</v>
      </c>
      <c r="H338" s="8" t="s">
        <v>26</v>
      </c>
      <c r="I338" s="12">
        <v>55000</v>
      </c>
      <c r="J338" s="14" t="s">
        <v>39</v>
      </c>
      <c r="K338" s="9" t="s">
        <v>20</v>
      </c>
      <c r="L338" s="9" t="s">
        <v>1023</v>
      </c>
      <c r="M338" s="5" t="str">
        <f>_xlfn.XLOOKUP(N338,enums!$C:$C,enums!$B:$B,"")</f>
        <v>复古拉力赛车</v>
      </c>
      <c r="N338" s="6" t="s">
        <v>256</v>
      </c>
    </row>
    <row r="339" ht="33" spans="1:14">
      <c r="A339" s="8" t="s">
        <v>1163</v>
      </c>
      <c r="B339" s="9">
        <v>42</v>
      </c>
      <c r="C339" s="9">
        <v>64</v>
      </c>
      <c r="D339" s="9" t="s">
        <v>1158</v>
      </c>
      <c r="E339" s="9">
        <v>3</v>
      </c>
      <c r="F339" s="9" t="s">
        <v>1164</v>
      </c>
      <c r="G339" s="10" t="s">
        <v>1001</v>
      </c>
      <c r="H339" s="8" t="s">
        <v>1165</v>
      </c>
      <c r="I339" s="12">
        <v>680000</v>
      </c>
      <c r="J339" s="9" t="s">
        <v>376</v>
      </c>
      <c r="K339" s="9" t="s">
        <v>20</v>
      </c>
      <c r="L339" s="9" t="s">
        <v>1166</v>
      </c>
      <c r="M339" s="5" t="str">
        <f>_xlfn.XLOOKUP(N339,enums!$C:$C,enums!$B:$B,"")</f>
        <v>经典拉力赛车</v>
      </c>
      <c r="N339" s="6" t="s">
        <v>28</v>
      </c>
    </row>
    <row r="340" ht="33" spans="1:14">
      <c r="A340" s="8" t="s">
        <v>1167</v>
      </c>
      <c r="B340" s="9">
        <v>43</v>
      </c>
      <c r="C340" s="9">
        <v>69</v>
      </c>
      <c r="D340" s="9" t="s">
        <v>1168</v>
      </c>
      <c r="E340" s="9">
        <v>1</v>
      </c>
      <c r="F340" s="9" t="s">
        <v>1169</v>
      </c>
      <c r="G340" s="10" t="s">
        <v>191</v>
      </c>
      <c r="H340" s="8" t="s">
        <v>72</v>
      </c>
      <c r="I340" s="12">
        <v>250000</v>
      </c>
      <c r="J340" s="13" t="s">
        <v>19</v>
      </c>
      <c r="K340" s="9" t="s">
        <v>132</v>
      </c>
      <c r="L340" s="9" t="s">
        <v>496</v>
      </c>
      <c r="M340" s="5" t="str">
        <f>_xlfn.XLOOKUP(N340,enums!$C:$C,enums!$B:$B,"")</f>
        <v>运动型多功能英雄车</v>
      </c>
      <c r="N340" s="6" t="s">
        <v>150</v>
      </c>
    </row>
    <row r="341" ht="49.5" spans="1:14">
      <c r="A341" s="8" t="s">
        <v>1170</v>
      </c>
      <c r="B341" s="9">
        <v>43</v>
      </c>
      <c r="C341" s="9">
        <v>69</v>
      </c>
      <c r="D341" s="9" t="s">
        <v>1168</v>
      </c>
      <c r="E341" s="9">
        <v>2</v>
      </c>
      <c r="F341" s="9" t="s">
        <v>1171</v>
      </c>
      <c r="G341" s="10" t="s">
        <v>114</v>
      </c>
      <c r="H341" s="8" t="s">
        <v>1172</v>
      </c>
      <c r="I341" s="12">
        <v>48000</v>
      </c>
      <c r="J341" s="14" t="s">
        <v>39</v>
      </c>
      <c r="K341" s="9" t="s">
        <v>132</v>
      </c>
      <c r="L341" s="9" t="s">
        <v>1173</v>
      </c>
      <c r="M341" s="5" t="str">
        <f>_xlfn.XLOOKUP(N341,enums!$C:$C,enums!$B:$B,"")</f>
        <v>运动型多功能英雄车</v>
      </c>
      <c r="N341" s="6" t="s">
        <v>150</v>
      </c>
    </row>
    <row r="342" ht="33" spans="1:14">
      <c r="A342" s="8" t="s">
        <v>1174</v>
      </c>
      <c r="B342" s="9">
        <v>44</v>
      </c>
      <c r="C342" s="9">
        <v>65</v>
      </c>
      <c r="D342" s="9" t="s">
        <v>1175</v>
      </c>
      <c r="E342" s="9">
        <v>1</v>
      </c>
      <c r="F342" s="9" t="s">
        <v>1176</v>
      </c>
      <c r="G342" s="10" t="s">
        <v>61</v>
      </c>
      <c r="H342" s="8" t="s">
        <v>26</v>
      </c>
      <c r="I342" s="12">
        <v>79000</v>
      </c>
      <c r="J342" s="14" t="s">
        <v>39</v>
      </c>
      <c r="K342" s="9" t="s">
        <v>40</v>
      </c>
      <c r="L342" s="9" t="s">
        <v>1177</v>
      </c>
      <c r="M342" s="5" t="str">
        <f>_xlfn.XLOOKUP(N342,enums!$C:$C,enums!$B:$B,"")</f>
        <v>GT 赛车</v>
      </c>
      <c r="N342" s="6" t="s">
        <v>79</v>
      </c>
    </row>
    <row r="343" ht="33" spans="1:14">
      <c r="A343" s="8" t="s">
        <v>1178</v>
      </c>
      <c r="B343" s="9">
        <v>44</v>
      </c>
      <c r="C343" s="9">
        <v>65</v>
      </c>
      <c r="D343" s="9" t="s">
        <v>1175</v>
      </c>
      <c r="E343" s="9">
        <v>2</v>
      </c>
      <c r="F343" s="9" t="s">
        <v>1179</v>
      </c>
      <c r="G343" s="10" t="s">
        <v>114</v>
      </c>
      <c r="H343" s="8" t="s">
        <v>26</v>
      </c>
      <c r="I343" s="12">
        <v>35000</v>
      </c>
      <c r="J343" s="14" t="s">
        <v>39</v>
      </c>
      <c r="K343" s="9" t="s">
        <v>40</v>
      </c>
      <c r="L343" s="9" t="s">
        <v>1180</v>
      </c>
      <c r="M343" s="5" t="str">
        <f>_xlfn.XLOOKUP(N343,enums!$C:$C,enums!$B:$B,"")</f>
        <v>现代超级轿车</v>
      </c>
      <c r="N343" s="6" t="s">
        <v>64</v>
      </c>
    </row>
    <row r="344" ht="66" spans="1:14">
      <c r="A344" s="8" t="s">
        <v>1181</v>
      </c>
      <c r="B344" s="9">
        <v>44</v>
      </c>
      <c r="C344" s="9">
        <v>65</v>
      </c>
      <c r="D344" s="9" t="s">
        <v>1175</v>
      </c>
      <c r="E344" s="9">
        <v>3</v>
      </c>
      <c r="F344" s="9" t="s">
        <v>1182</v>
      </c>
      <c r="G344" s="10" t="s">
        <v>229</v>
      </c>
      <c r="H344" s="8" t="s">
        <v>1183</v>
      </c>
      <c r="I344" s="12">
        <v>1250000</v>
      </c>
      <c r="J344" s="18" t="s">
        <v>290</v>
      </c>
      <c r="K344" s="9" t="s">
        <v>40</v>
      </c>
      <c r="L344" s="9" t="s">
        <v>656</v>
      </c>
      <c r="M344" s="5" t="str">
        <f>_xlfn.XLOOKUP(N344,enums!$C:$C,enums!$B:$B,"")</f>
        <v>极限赛道玩具</v>
      </c>
      <c r="N344" s="6" t="s">
        <v>127</v>
      </c>
    </row>
    <row r="345" ht="33" spans="1:14">
      <c r="A345" s="8" t="s">
        <v>1184</v>
      </c>
      <c r="B345" s="9">
        <v>44</v>
      </c>
      <c r="C345" s="9">
        <v>65</v>
      </c>
      <c r="D345" s="9" t="s">
        <v>1175</v>
      </c>
      <c r="E345" s="9">
        <v>4</v>
      </c>
      <c r="F345" s="9" t="s">
        <v>1185</v>
      </c>
      <c r="G345" s="10" t="s">
        <v>229</v>
      </c>
      <c r="H345" s="8" t="s">
        <v>72</v>
      </c>
      <c r="I345" s="12">
        <v>875000</v>
      </c>
      <c r="J345" s="15" t="s">
        <v>46</v>
      </c>
      <c r="K345" s="9" t="s">
        <v>40</v>
      </c>
      <c r="L345" s="9" t="s">
        <v>426</v>
      </c>
      <c r="M345" s="5" t="str">
        <f>_xlfn.XLOOKUP(N345,enums!$C:$C,enums!$B:$B,"")</f>
        <v>现代超级跑车</v>
      </c>
      <c r="N345" s="6" t="s">
        <v>48</v>
      </c>
    </row>
    <row r="346" ht="33" spans="1:14">
      <c r="A346" s="8" t="s">
        <v>1186</v>
      </c>
      <c r="B346" s="9">
        <v>45</v>
      </c>
      <c r="C346" s="9">
        <v>67</v>
      </c>
      <c r="D346" s="9" t="s">
        <v>1187</v>
      </c>
      <c r="E346" s="9">
        <v>1</v>
      </c>
      <c r="F346" s="9" t="s">
        <v>1188</v>
      </c>
      <c r="G346" s="10" t="s">
        <v>693</v>
      </c>
      <c r="H346" s="8" t="s">
        <v>1189</v>
      </c>
      <c r="I346" s="12">
        <v>65000</v>
      </c>
      <c r="J346" s="9" t="s">
        <v>804</v>
      </c>
      <c r="K346" s="9" t="s">
        <v>40</v>
      </c>
      <c r="L346" s="9" t="s">
        <v>1190</v>
      </c>
      <c r="M346" s="5" t="str">
        <f>_xlfn.XLOOKUP(N346,enums!$C:$C,enums!$B:$B,"")</f>
        <v>改装车和特制车</v>
      </c>
      <c r="N346" s="6" t="s">
        <v>497</v>
      </c>
    </row>
    <row r="347" ht="33" spans="1:14">
      <c r="A347" s="8" t="s">
        <v>1191</v>
      </c>
      <c r="B347" s="9">
        <v>46</v>
      </c>
      <c r="C347" s="9">
        <v>68</v>
      </c>
      <c r="D347" s="9" t="s">
        <v>1192</v>
      </c>
      <c r="E347" s="9">
        <v>1</v>
      </c>
      <c r="F347" s="9" t="s">
        <v>1193</v>
      </c>
      <c r="G347" s="10" t="s">
        <v>37</v>
      </c>
      <c r="H347" s="8" t="s">
        <v>18</v>
      </c>
      <c r="I347" s="12">
        <v>250000</v>
      </c>
      <c r="J347" s="14" t="s">
        <v>39</v>
      </c>
      <c r="K347" s="9" t="s">
        <v>132</v>
      </c>
      <c r="L347" s="9" t="s">
        <v>314</v>
      </c>
      <c r="M347" s="5" t="str">
        <f>_xlfn.XLOOKUP(N347,enums!$C:$C,enums!$B:$B,"")</f>
        <v>现代跑车</v>
      </c>
      <c r="N347" s="6" t="s">
        <v>74</v>
      </c>
    </row>
    <row r="348" ht="33" spans="1:14">
      <c r="A348" s="8" t="s">
        <v>1194</v>
      </c>
      <c r="B348" s="9">
        <v>46</v>
      </c>
      <c r="C348" s="9">
        <v>68</v>
      </c>
      <c r="D348" s="9" t="s">
        <v>1192</v>
      </c>
      <c r="E348" s="9">
        <v>2</v>
      </c>
      <c r="F348" s="9" t="s">
        <v>1195</v>
      </c>
      <c r="G348" s="10" t="s">
        <v>191</v>
      </c>
      <c r="H348" s="8" t="s">
        <v>26</v>
      </c>
      <c r="I348" s="12">
        <v>2450000</v>
      </c>
      <c r="J348" s="16" t="s">
        <v>91</v>
      </c>
      <c r="K348" s="9" t="s">
        <v>132</v>
      </c>
      <c r="L348" s="9" t="s">
        <v>1196</v>
      </c>
      <c r="M348" s="5" t="str">
        <f>_xlfn.XLOOKUP(N348,enums!$C:$C,enums!$B:$B,"")</f>
        <v>顶级超跑</v>
      </c>
      <c r="N348" s="6" t="s">
        <v>142</v>
      </c>
    </row>
    <row r="349" ht="33" spans="1:14">
      <c r="A349" s="8" t="s">
        <v>1197</v>
      </c>
      <c r="B349" s="9">
        <v>46</v>
      </c>
      <c r="C349" s="9">
        <v>68</v>
      </c>
      <c r="D349" s="9" t="s">
        <v>1192</v>
      </c>
      <c r="E349" s="9">
        <v>3</v>
      </c>
      <c r="F349" s="9" t="s">
        <v>1198</v>
      </c>
      <c r="G349" s="10" t="s">
        <v>191</v>
      </c>
      <c r="H349" s="8" t="s">
        <v>569</v>
      </c>
      <c r="I349" s="12">
        <v>500000</v>
      </c>
      <c r="J349" s="18" t="s">
        <v>290</v>
      </c>
      <c r="K349" s="9" t="s">
        <v>132</v>
      </c>
      <c r="L349" s="9" t="s">
        <v>656</v>
      </c>
      <c r="M349" s="5" t="str">
        <f>_xlfn.XLOOKUP(N349,enums!$C:$C,enums!$B:$B,"")</f>
        <v>漂移赛车</v>
      </c>
      <c r="N349" s="6" t="s">
        <v>527</v>
      </c>
    </row>
    <row r="350" ht="49.5" spans="1:14">
      <c r="A350" s="8" t="s">
        <v>1199</v>
      </c>
      <c r="B350" s="9">
        <v>46</v>
      </c>
      <c r="C350" s="9">
        <v>68</v>
      </c>
      <c r="D350" s="9" t="s">
        <v>1192</v>
      </c>
      <c r="E350" s="9">
        <v>4</v>
      </c>
      <c r="F350" s="9" t="s">
        <v>1200</v>
      </c>
      <c r="G350" s="10" t="s">
        <v>198</v>
      </c>
      <c r="H350" s="8" t="s">
        <v>1201</v>
      </c>
      <c r="I350" s="12">
        <v>400000</v>
      </c>
      <c r="J350" s="16" t="s">
        <v>91</v>
      </c>
      <c r="K350" s="9" t="s">
        <v>132</v>
      </c>
      <c r="L350" s="9" t="s">
        <v>611</v>
      </c>
      <c r="M350" s="5" t="str">
        <f>_xlfn.XLOOKUP(N350,enums!$C:$C,enums!$B:$B,"")</f>
        <v>极限赛道玩具</v>
      </c>
      <c r="N350" s="6" t="s">
        <v>127</v>
      </c>
    </row>
    <row r="351" ht="33" spans="1:14">
      <c r="A351" s="8" t="s">
        <v>1202</v>
      </c>
      <c r="B351" s="9">
        <v>46</v>
      </c>
      <c r="C351" s="9">
        <v>68</v>
      </c>
      <c r="D351" s="9" t="s">
        <v>1192</v>
      </c>
      <c r="E351" s="9">
        <v>5</v>
      </c>
      <c r="F351" s="9" t="s">
        <v>1203</v>
      </c>
      <c r="G351" s="10" t="s">
        <v>198</v>
      </c>
      <c r="H351" s="8" t="s">
        <v>18</v>
      </c>
      <c r="I351" s="12">
        <v>250000</v>
      </c>
      <c r="J351" s="15" t="s">
        <v>46</v>
      </c>
      <c r="K351" s="9" t="s">
        <v>132</v>
      </c>
      <c r="L351" s="9" t="s">
        <v>1204</v>
      </c>
      <c r="M351" s="5" t="str">
        <f>_xlfn.XLOOKUP(N351,enums!$C:$C,enums!$B:$B,"")</f>
        <v>赛道玩具</v>
      </c>
      <c r="N351" s="6" t="s">
        <v>273</v>
      </c>
    </row>
    <row r="352" ht="33" spans="1:14">
      <c r="A352" s="8" t="s">
        <v>1205</v>
      </c>
      <c r="B352" s="9">
        <v>46</v>
      </c>
      <c r="C352" s="9">
        <v>68</v>
      </c>
      <c r="D352" s="9" t="s">
        <v>1192</v>
      </c>
      <c r="E352" s="9">
        <v>6</v>
      </c>
      <c r="F352" s="9" t="s">
        <v>1206</v>
      </c>
      <c r="G352" s="10" t="s">
        <v>568</v>
      </c>
      <c r="H352" s="8" t="s">
        <v>26</v>
      </c>
      <c r="I352" s="12">
        <v>47000</v>
      </c>
      <c r="J352" s="13" t="s">
        <v>19</v>
      </c>
      <c r="K352" s="9" t="s">
        <v>132</v>
      </c>
      <c r="L352" s="9" t="s">
        <v>1207</v>
      </c>
      <c r="M352" s="5" t="str">
        <f>_xlfn.XLOOKUP(N352,enums!$C:$C,enums!$B:$B,"")</f>
        <v>复古跑车</v>
      </c>
      <c r="N352" s="6" t="s">
        <v>364</v>
      </c>
    </row>
    <row r="353" ht="33" spans="1:14">
      <c r="A353" s="8" t="s">
        <v>1208</v>
      </c>
      <c r="B353" s="9">
        <v>46</v>
      </c>
      <c r="C353" s="9">
        <v>68</v>
      </c>
      <c r="D353" s="9" t="s">
        <v>1192</v>
      </c>
      <c r="E353" s="9">
        <v>7</v>
      </c>
      <c r="F353" s="9" t="s">
        <v>1209</v>
      </c>
      <c r="G353" s="10" t="s">
        <v>355</v>
      </c>
      <c r="H353" s="8" t="s">
        <v>26</v>
      </c>
      <c r="I353" s="12">
        <v>1500000</v>
      </c>
      <c r="J353" s="16" t="s">
        <v>91</v>
      </c>
      <c r="K353" s="9" t="s">
        <v>132</v>
      </c>
      <c r="L353" s="9" t="s">
        <v>1210</v>
      </c>
      <c r="M353" s="5" t="str">
        <f>_xlfn.XLOOKUP(N353,enums!$C:$C,enums!$B:$B,"")</f>
        <v>复古超级轿车</v>
      </c>
      <c r="N353" s="6" t="s">
        <v>378</v>
      </c>
    </row>
    <row r="354" spans="1:14">
      <c r="A354" s="8" t="s">
        <v>1211</v>
      </c>
      <c r="B354" s="9">
        <v>47</v>
      </c>
      <c r="C354" s="9">
        <v>23</v>
      </c>
      <c r="D354" s="9" t="s">
        <v>1212</v>
      </c>
      <c r="E354" s="9">
        <v>1</v>
      </c>
      <c r="F354" s="9" t="s">
        <v>1213</v>
      </c>
      <c r="G354" s="10" t="s">
        <v>285</v>
      </c>
      <c r="H354" s="8" t="s">
        <v>26</v>
      </c>
      <c r="I354" s="12">
        <v>240000</v>
      </c>
      <c r="J354" s="14" t="s">
        <v>39</v>
      </c>
      <c r="K354" s="9" t="s">
        <v>40</v>
      </c>
      <c r="L354" s="9" t="s">
        <v>1214</v>
      </c>
      <c r="M354" s="5" t="str">
        <f>_xlfn.XLOOKUP(N354,enums!$C:$C,enums!$B:$B,"")</f>
        <v>现代超级轿车</v>
      </c>
      <c r="N354" s="6" t="s">
        <v>64</v>
      </c>
    </row>
    <row r="355" ht="33" spans="1:14">
      <c r="A355" s="8" t="s">
        <v>1215</v>
      </c>
      <c r="B355" s="9">
        <v>48</v>
      </c>
      <c r="C355" s="9">
        <v>71</v>
      </c>
      <c r="D355" s="9" t="s">
        <v>1216</v>
      </c>
      <c r="E355" s="9">
        <v>1</v>
      </c>
      <c r="F355" s="9" t="s">
        <v>1217</v>
      </c>
      <c r="G355" s="10" t="s">
        <v>44</v>
      </c>
      <c r="H355" s="8" t="s">
        <v>26</v>
      </c>
      <c r="I355" s="12">
        <v>220000</v>
      </c>
      <c r="J355" s="15" t="s">
        <v>46</v>
      </c>
      <c r="K355" s="9" t="s">
        <v>20</v>
      </c>
      <c r="L355" s="9" t="s">
        <v>1137</v>
      </c>
      <c r="M355" s="5" t="str">
        <f>_xlfn.XLOOKUP(N355,enums!$C:$C,enums!$B:$B,"")</f>
        <v>现代超级跑车</v>
      </c>
      <c r="N355" s="6" t="s">
        <v>48</v>
      </c>
    </row>
    <row r="356" ht="33" spans="1:14">
      <c r="A356" s="8" t="s">
        <v>1218</v>
      </c>
      <c r="B356" s="9">
        <v>48</v>
      </c>
      <c r="C356" s="9">
        <v>71</v>
      </c>
      <c r="D356" s="9" t="s">
        <v>1216</v>
      </c>
      <c r="E356" s="9">
        <v>2</v>
      </c>
      <c r="F356" s="9" t="s">
        <v>1219</v>
      </c>
      <c r="G356" s="10" t="s">
        <v>341</v>
      </c>
      <c r="H356" s="8" t="s">
        <v>26</v>
      </c>
      <c r="I356" s="12">
        <v>3100000</v>
      </c>
      <c r="J356" s="16" t="s">
        <v>91</v>
      </c>
      <c r="K356" s="9" t="s">
        <v>20</v>
      </c>
      <c r="L356" s="9" t="s">
        <v>1220</v>
      </c>
      <c r="M356" s="5" t="str">
        <f>_xlfn.XLOOKUP(N356,enums!$C:$C,enums!$B:$B,"")</f>
        <v>极限赛道玩具</v>
      </c>
      <c r="N356" s="6" t="s">
        <v>127</v>
      </c>
    </row>
    <row r="357" ht="33" spans="1:14">
      <c r="A357" s="8" t="s">
        <v>1221</v>
      </c>
      <c r="B357" s="9">
        <v>48</v>
      </c>
      <c r="C357" s="9">
        <v>71</v>
      </c>
      <c r="D357" s="9" t="s">
        <v>1216</v>
      </c>
      <c r="E357" s="9">
        <v>3</v>
      </c>
      <c r="F357" s="9" t="s">
        <v>1222</v>
      </c>
      <c r="G357" s="10" t="s">
        <v>951</v>
      </c>
      <c r="H357" s="8" t="s">
        <v>18</v>
      </c>
      <c r="I357" s="12">
        <v>3750000</v>
      </c>
      <c r="J357" s="15" t="s">
        <v>46</v>
      </c>
      <c r="K357" s="9" t="s">
        <v>20</v>
      </c>
      <c r="L357" s="9" t="s">
        <v>1223</v>
      </c>
      <c r="M357" s="5" t="str">
        <f>_xlfn.XLOOKUP(N357,enums!$C:$C,enums!$B:$B,"")</f>
        <v>复古超级轿车</v>
      </c>
      <c r="N357" s="6" t="s">
        <v>378</v>
      </c>
    </row>
    <row r="358" ht="49.5" spans="1:14">
      <c r="A358" s="8" t="s">
        <v>1224</v>
      </c>
      <c r="B358" s="9">
        <v>48</v>
      </c>
      <c r="C358" s="9">
        <v>71</v>
      </c>
      <c r="D358" s="9" t="s">
        <v>1216</v>
      </c>
      <c r="E358" s="9">
        <v>4</v>
      </c>
      <c r="F358" s="9" t="s">
        <v>1225</v>
      </c>
      <c r="G358" s="10" t="s">
        <v>355</v>
      </c>
      <c r="H358" s="8" t="s">
        <v>1226</v>
      </c>
      <c r="I358" s="12">
        <v>102000</v>
      </c>
      <c r="J358" s="14" t="s">
        <v>39</v>
      </c>
      <c r="K358" s="9" t="s">
        <v>20</v>
      </c>
      <c r="L358" s="9" t="s">
        <v>1227</v>
      </c>
      <c r="M358" s="5" t="str">
        <f>_xlfn.XLOOKUP(N358,enums!$C:$C,enums!$B:$B,"")</f>
        <v>复古跑车</v>
      </c>
      <c r="N358" s="6" t="s">
        <v>364</v>
      </c>
    </row>
    <row r="359" ht="33" spans="1:14">
      <c r="A359" s="8" t="s">
        <v>1228</v>
      </c>
      <c r="B359" s="9">
        <v>49</v>
      </c>
      <c r="C359" s="9">
        <v>70</v>
      </c>
      <c r="D359" s="9" t="s">
        <v>1229</v>
      </c>
      <c r="E359" s="9">
        <v>1</v>
      </c>
      <c r="F359" s="9" t="s">
        <v>1230</v>
      </c>
      <c r="G359" s="10" t="s">
        <v>44</v>
      </c>
      <c r="H359" s="8" t="s">
        <v>38</v>
      </c>
      <c r="I359" s="12">
        <v>29000</v>
      </c>
      <c r="J359" s="15" t="s">
        <v>46</v>
      </c>
      <c r="K359" s="9" t="s">
        <v>266</v>
      </c>
      <c r="L359" s="9" t="s">
        <v>1231</v>
      </c>
      <c r="M359" s="5" t="str">
        <f>_xlfn.XLOOKUP(N359,enums!$C:$C,enums!$B:$B,"")</f>
        <v>现代跑车</v>
      </c>
      <c r="N359" s="6" t="s">
        <v>74</v>
      </c>
    </row>
    <row r="360" ht="49.5" spans="1:14">
      <c r="A360" s="8" t="s">
        <v>1232</v>
      </c>
      <c r="B360" s="9">
        <v>49</v>
      </c>
      <c r="C360" s="9">
        <v>70</v>
      </c>
      <c r="D360" s="9" t="s">
        <v>1229</v>
      </c>
      <c r="E360" s="9">
        <v>2</v>
      </c>
      <c r="F360" s="9" t="s">
        <v>1233</v>
      </c>
      <c r="G360" s="10" t="s">
        <v>67</v>
      </c>
      <c r="H360" s="8" t="s">
        <v>1234</v>
      </c>
      <c r="I360" s="12">
        <v>60000</v>
      </c>
      <c r="J360" s="15" t="s">
        <v>46</v>
      </c>
      <c r="K360" s="9" t="s">
        <v>266</v>
      </c>
      <c r="L360" s="9" t="s">
        <v>1235</v>
      </c>
      <c r="M360" s="5" t="str">
        <f>_xlfn.XLOOKUP(N360,enums!$C:$C,enums!$B:$B,"")</f>
        <v>赛道玩具</v>
      </c>
      <c r="N360" s="6" t="s">
        <v>273</v>
      </c>
    </row>
    <row r="361" ht="33" spans="1:14">
      <c r="A361" s="8" t="s">
        <v>1236</v>
      </c>
      <c r="B361" s="9">
        <v>49</v>
      </c>
      <c r="C361" s="9">
        <v>70</v>
      </c>
      <c r="D361" s="9" t="s">
        <v>1229</v>
      </c>
      <c r="E361" s="9">
        <v>3</v>
      </c>
      <c r="F361" s="9" t="s">
        <v>1237</v>
      </c>
      <c r="G361" s="10" t="s">
        <v>17</v>
      </c>
      <c r="H361" s="8" t="s">
        <v>72</v>
      </c>
      <c r="I361" s="12">
        <v>18000</v>
      </c>
      <c r="J361" s="15" t="s">
        <v>46</v>
      </c>
      <c r="K361" s="9" t="s">
        <v>266</v>
      </c>
      <c r="L361" s="9" t="s">
        <v>1238</v>
      </c>
      <c r="M361" s="5" t="str">
        <f>_xlfn.XLOOKUP(N361,enums!$C:$C,enums!$B:$B,"")</f>
        <v>现代跑车</v>
      </c>
      <c r="N361" s="6" t="s">
        <v>74</v>
      </c>
    </row>
    <row r="362" ht="33" spans="1:14">
      <c r="A362" s="8" t="s">
        <v>1239</v>
      </c>
      <c r="B362" s="9">
        <v>49</v>
      </c>
      <c r="C362" s="9">
        <v>70</v>
      </c>
      <c r="D362" s="9" t="s">
        <v>1229</v>
      </c>
      <c r="E362" s="9">
        <v>4</v>
      </c>
      <c r="F362" s="9" t="s">
        <v>1240</v>
      </c>
      <c r="G362" s="10" t="s">
        <v>136</v>
      </c>
      <c r="H362" s="8" t="s">
        <v>26</v>
      </c>
      <c r="I362" s="12">
        <v>28000</v>
      </c>
      <c r="J362" s="13" t="s">
        <v>19</v>
      </c>
      <c r="K362" s="9" t="s">
        <v>266</v>
      </c>
      <c r="L362" s="9" t="s">
        <v>797</v>
      </c>
      <c r="M362" s="5" t="str">
        <f>_xlfn.XLOOKUP(N362,enums!$C:$C,enums!$B:$B,"")</f>
        <v>现代跑车</v>
      </c>
      <c r="N362" s="6" t="s">
        <v>74</v>
      </c>
    </row>
    <row r="363" ht="33" spans="1:14">
      <c r="A363" s="8" t="s">
        <v>1241</v>
      </c>
      <c r="B363" s="9">
        <v>49</v>
      </c>
      <c r="C363" s="9">
        <v>70</v>
      </c>
      <c r="D363" s="9" t="s">
        <v>1229</v>
      </c>
      <c r="E363" s="9">
        <v>5</v>
      </c>
      <c r="F363" s="9" t="s">
        <v>1242</v>
      </c>
      <c r="G363" s="10" t="s">
        <v>221</v>
      </c>
      <c r="H363" s="8" t="s">
        <v>26</v>
      </c>
      <c r="I363" s="12">
        <v>33000</v>
      </c>
      <c r="J363" s="14" t="s">
        <v>39</v>
      </c>
      <c r="K363" s="9" t="s">
        <v>266</v>
      </c>
      <c r="L363" s="9" t="s">
        <v>1243</v>
      </c>
      <c r="M363" s="5" t="str">
        <f>_xlfn.XLOOKUP(N363,enums!$C:$C,enums!$B:$B,"")</f>
        <v>现代跑车</v>
      </c>
      <c r="N363" s="6" t="s">
        <v>74</v>
      </c>
    </row>
    <row r="364" ht="33" spans="1:14">
      <c r="A364" s="8" t="s">
        <v>1244</v>
      </c>
      <c r="B364" s="9">
        <v>49</v>
      </c>
      <c r="C364" s="9">
        <v>70</v>
      </c>
      <c r="D364" s="9" t="s">
        <v>1229</v>
      </c>
      <c r="E364" s="9">
        <v>6</v>
      </c>
      <c r="F364" s="9" t="s">
        <v>1245</v>
      </c>
      <c r="G364" s="10" t="s">
        <v>229</v>
      </c>
      <c r="H364" s="8" t="s">
        <v>26</v>
      </c>
      <c r="I364" s="12">
        <v>25000</v>
      </c>
      <c r="J364" s="13" t="s">
        <v>19</v>
      </c>
      <c r="K364" s="9" t="s">
        <v>266</v>
      </c>
      <c r="L364" s="9" t="s">
        <v>711</v>
      </c>
      <c r="M364" s="5" t="str">
        <f>_xlfn.XLOOKUP(N364,enums!$C:$C,enums!$B:$B,"")</f>
        <v>高性能掀背车</v>
      </c>
      <c r="N364" s="17" t="s">
        <v>22</v>
      </c>
    </row>
    <row r="365" ht="33" spans="1:14">
      <c r="A365" s="8" t="s">
        <v>1246</v>
      </c>
      <c r="B365" s="9">
        <v>49</v>
      </c>
      <c r="C365" s="9">
        <v>70</v>
      </c>
      <c r="D365" s="9" t="s">
        <v>1229</v>
      </c>
      <c r="E365" s="9">
        <v>7</v>
      </c>
      <c r="F365" s="9" t="s">
        <v>1247</v>
      </c>
      <c r="G365" s="10" t="s">
        <v>341</v>
      </c>
      <c r="H365" s="8" t="s">
        <v>18</v>
      </c>
      <c r="I365" s="12">
        <v>353000</v>
      </c>
      <c r="J365" s="16" t="s">
        <v>91</v>
      </c>
      <c r="K365" s="9" t="s">
        <v>266</v>
      </c>
      <c r="L365" s="9" t="s">
        <v>1248</v>
      </c>
      <c r="M365" s="5" t="str">
        <f>_xlfn.XLOOKUP(N365,enums!$C:$C,enums!$B:$B,"")</f>
        <v>极限赛道玩具</v>
      </c>
      <c r="N365" s="6" t="s">
        <v>127</v>
      </c>
    </row>
    <row r="366" ht="33" spans="1:14">
      <c r="A366" s="8" t="s">
        <v>1249</v>
      </c>
      <c r="B366" s="9">
        <v>49</v>
      </c>
      <c r="C366" s="9">
        <v>70</v>
      </c>
      <c r="D366" s="9" t="s">
        <v>1229</v>
      </c>
      <c r="E366" s="9">
        <v>8</v>
      </c>
      <c r="F366" s="9" t="s">
        <v>1250</v>
      </c>
      <c r="G366" s="10" t="s">
        <v>348</v>
      </c>
      <c r="H366" s="8" t="s">
        <v>26</v>
      </c>
      <c r="I366" s="12">
        <v>21000</v>
      </c>
      <c r="J366" s="13" t="s">
        <v>19</v>
      </c>
      <c r="K366" s="9" t="s">
        <v>266</v>
      </c>
      <c r="L366" s="9" t="s">
        <v>371</v>
      </c>
      <c r="M366" s="5" t="str">
        <f>_xlfn.XLOOKUP(N366,enums!$C:$C,enums!$B:$B,"")</f>
        <v>复古跑车</v>
      </c>
      <c r="N366" s="17" t="s">
        <v>364</v>
      </c>
    </row>
    <row r="367" ht="33" spans="1:14">
      <c r="A367" s="8" t="s">
        <v>1251</v>
      </c>
      <c r="B367" s="9">
        <v>49</v>
      </c>
      <c r="C367" s="9">
        <v>70</v>
      </c>
      <c r="D367" s="9" t="s">
        <v>1229</v>
      </c>
      <c r="E367" s="9">
        <v>9</v>
      </c>
      <c r="F367" s="9" t="s">
        <v>1252</v>
      </c>
      <c r="G367" s="10" t="s">
        <v>667</v>
      </c>
      <c r="H367" s="8" t="s">
        <v>1253</v>
      </c>
      <c r="I367" s="12">
        <v>500000</v>
      </c>
      <c r="J367" s="18" t="s">
        <v>290</v>
      </c>
      <c r="K367" s="9" t="s">
        <v>266</v>
      </c>
      <c r="L367" s="9" t="s">
        <v>807</v>
      </c>
      <c r="M367" s="5" t="str">
        <f>_xlfn.XLOOKUP(N367,enums!$C:$C,enums!$B:$B,"")</f>
        <v>复古跑车</v>
      </c>
      <c r="N367" s="6" t="s">
        <v>364</v>
      </c>
    </row>
    <row r="368" ht="33" spans="1:14">
      <c r="A368" s="8" t="s">
        <v>1254</v>
      </c>
      <c r="B368" s="9">
        <v>49</v>
      </c>
      <c r="C368" s="9">
        <v>70</v>
      </c>
      <c r="D368" s="9" t="s">
        <v>1229</v>
      </c>
      <c r="E368" s="9">
        <v>10</v>
      </c>
      <c r="F368" s="9" t="s">
        <v>1255</v>
      </c>
      <c r="G368" s="10" t="s">
        <v>667</v>
      </c>
      <c r="H368" s="8" t="s">
        <v>38</v>
      </c>
      <c r="I368" s="12">
        <v>15000</v>
      </c>
      <c r="J368" s="13" t="s">
        <v>19</v>
      </c>
      <c r="K368" s="9" t="s">
        <v>266</v>
      </c>
      <c r="L368" s="9" t="s">
        <v>1256</v>
      </c>
      <c r="M368" s="5" t="str">
        <f>_xlfn.XLOOKUP(N368,enums!$C:$C,enums!$B:$B,"")</f>
        <v>复古跑车</v>
      </c>
      <c r="N368" s="6" t="s">
        <v>364</v>
      </c>
    </row>
    <row r="369" ht="49.5" spans="1:14">
      <c r="A369" s="8" t="s">
        <v>1257</v>
      </c>
      <c r="B369" s="9">
        <v>49</v>
      </c>
      <c r="C369" s="9">
        <v>70</v>
      </c>
      <c r="D369" s="9" t="s">
        <v>1229</v>
      </c>
      <c r="E369" s="9">
        <v>11</v>
      </c>
      <c r="F369" s="9" t="s">
        <v>1258</v>
      </c>
      <c r="G369" s="10" t="s">
        <v>82</v>
      </c>
      <c r="H369" s="8" t="s">
        <v>1259</v>
      </c>
      <c r="I369" s="12">
        <v>40000</v>
      </c>
      <c r="J369" s="14" t="s">
        <v>39</v>
      </c>
      <c r="K369" s="9" t="s">
        <v>266</v>
      </c>
      <c r="L369" s="9" t="s">
        <v>530</v>
      </c>
      <c r="M369" s="5" t="str">
        <f>_xlfn.XLOOKUP(N369,enums!$C:$C,enums!$B:$B,"")</f>
        <v>复古跑车</v>
      </c>
      <c r="N369" s="6" t="s">
        <v>364</v>
      </c>
    </row>
    <row r="370" ht="33" spans="1:14">
      <c r="A370" s="8" t="s">
        <v>1260</v>
      </c>
      <c r="B370" s="9">
        <v>49</v>
      </c>
      <c r="C370" s="9">
        <v>70</v>
      </c>
      <c r="D370" s="9" t="s">
        <v>1229</v>
      </c>
      <c r="E370" s="9">
        <v>12</v>
      </c>
      <c r="F370" s="9" t="s">
        <v>1261</v>
      </c>
      <c r="G370" s="10" t="s">
        <v>893</v>
      </c>
      <c r="H370" s="8" t="s">
        <v>1262</v>
      </c>
      <c r="I370" s="12">
        <v>1220000</v>
      </c>
      <c r="J370" s="9" t="s">
        <v>804</v>
      </c>
      <c r="K370" s="9" t="s">
        <v>266</v>
      </c>
      <c r="L370" s="9" t="s">
        <v>1263</v>
      </c>
      <c r="M370" s="5" t="str">
        <f>_xlfn.XLOOKUP(N370,enums!$C:$C,enums!$B:$B,"")</f>
        <v>复古赛车</v>
      </c>
      <c r="N370" s="17" t="s">
        <v>88</v>
      </c>
    </row>
    <row r="371" ht="33" spans="1:14">
      <c r="A371" s="8" t="s">
        <v>1264</v>
      </c>
      <c r="B371" s="9">
        <v>49</v>
      </c>
      <c r="C371" s="9">
        <v>70</v>
      </c>
      <c r="D371" s="9" t="s">
        <v>1229</v>
      </c>
      <c r="E371" s="9">
        <v>13</v>
      </c>
      <c r="F371" s="9" t="s">
        <v>1265</v>
      </c>
      <c r="G371" s="10" t="s">
        <v>87</v>
      </c>
      <c r="H371" s="8" t="s">
        <v>26</v>
      </c>
      <c r="I371" s="12">
        <v>23000</v>
      </c>
      <c r="J371" s="15" t="s">
        <v>46</v>
      </c>
      <c r="K371" s="9" t="s">
        <v>266</v>
      </c>
      <c r="L371" s="9" t="s">
        <v>1266</v>
      </c>
      <c r="M371" s="5" t="str">
        <f>_xlfn.XLOOKUP(N371,enums!$C:$C,enums!$B:$B,"")</f>
        <v>复古跑车</v>
      </c>
      <c r="N371" s="6" t="s">
        <v>364</v>
      </c>
    </row>
    <row r="372" ht="33" spans="1:14">
      <c r="A372" s="8" t="s">
        <v>1267</v>
      </c>
      <c r="B372" s="9">
        <v>49</v>
      </c>
      <c r="C372" s="9">
        <v>70</v>
      </c>
      <c r="D372" s="9" t="s">
        <v>1229</v>
      </c>
      <c r="E372" s="9">
        <v>14</v>
      </c>
      <c r="F372" s="9" t="s">
        <v>1268</v>
      </c>
      <c r="G372" s="10" t="s">
        <v>813</v>
      </c>
      <c r="H372" s="8" t="s">
        <v>1269</v>
      </c>
      <c r="I372" s="12">
        <v>30000</v>
      </c>
      <c r="J372" s="9" t="s">
        <v>376</v>
      </c>
      <c r="K372" s="9" t="s">
        <v>266</v>
      </c>
      <c r="L372" s="9" t="s">
        <v>541</v>
      </c>
      <c r="M372" s="5" t="str">
        <f>_xlfn.XLOOKUP(N372,enums!$C:$C,enums!$B:$B,"")</f>
        <v>复古跑车</v>
      </c>
      <c r="N372" s="6" t="s">
        <v>364</v>
      </c>
    </row>
    <row r="373" ht="33" spans="1:14">
      <c r="A373" s="8" t="s">
        <v>1270</v>
      </c>
      <c r="B373" s="9">
        <v>49</v>
      </c>
      <c r="C373" s="9">
        <v>70</v>
      </c>
      <c r="D373" s="9" t="s">
        <v>1229</v>
      </c>
      <c r="E373" s="9">
        <v>15</v>
      </c>
      <c r="F373" s="9" t="s">
        <v>1271</v>
      </c>
      <c r="G373" s="10" t="s">
        <v>1001</v>
      </c>
      <c r="H373" s="8" t="s">
        <v>178</v>
      </c>
      <c r="I373" s="12" t="s">
        <v>63</v>
      </c>
      <c r="J373" s="16" t="s">
        <v>91</v>
      </c>
      <c r="K373" s="9" t="s">
        <v>266</v>
      </c>
      <c r="L373" s="9" t="s">
        <v>653</v>
      </c>
      <c r="M373" s="5" t="str">
        <f>_xlfn.XLOOKUP(N373,enums!$C:$C,enums!$B:$B,"")</f>
        <v>漂移赛车</v>
      </c>
      <c r="N373" s="6" t="s">
        <v>527</v>
      </c>
    </row>
    <row r="374" ht="33" spans="1:14">
      <c r="A374" s="8" t="s">
        <v>1272</v>
      </c>
      <c r="B374" s="9">
        <v>49</v>
      </c>
      <c r="C374" s="9">
        <v>70</v>
      </c>
      <c r="D374" s="9" t="s">
        <v>1229</v>
      </c>
      <c r="E374" s="9">
        <v>16</v>
      </c>
      <c r="F374" s="9" t="s">
        <v>1273</v>
      </c>
      <c r="G374" s="10" t="s">
        <v>381</v>
      </c>
      <c r="H374" s="8" t="s">
        <v>1274</v>
      </c>
      <c r="I374" s="12">
        <v>500000</v>
      </c>
      <c r="J374" s="18" t="s">
        <v>290</v>
      </c>
      <c r="K374" s="9" t="s">
        <v>266</v>
      </c>
      <c r="L374" s="9" t="s">
        <v>708</v>
      </c>
      <c r="M374" s="5" t="str">
        <f>_xlfn.XLOOKUP(N374,enums!$C:$C,enums!$B:$B,"")</f>
        <v>经典跑车</v>
      </c>
      <c r="N374" s="6" t="s">
        <v>261</v>
      </c>
    </row>
    <row r="375" ht="33" spans="1:14">
      <c r="A375" s="8" t="s">
        <v>1275</v>
      </c>
      <c r="B375" s="9">
        <v>49</v>
      </c>
      <c r="C375" s="9">
        <v>70</v>
      </c>
      <c r="D375" s="9" t="s">
        <v>1229</v>
      </c>
      <c r="E375" s="9">
        <v>17</v>
      </c>
      <c r="F375" s="9" t="s">
        <v>1276</v>
      </c>
      <c r="G375" s="10" t="s">
        <v>381</v>
      </c>
      <c r="H375" s="8" t="s">
        <v>26</v>
      </c>
      <c r="I375" s="12">
        <v>73000</v>
      </c>
      <c r="J375" s="13" t="s">
        <v>19</v>
      </c>
      <c r="K375" s="9" t="s">
        <v>266</v>
      </c>
      <c r="L375" s="9" t="s">
        <v>1277</v>
      </c>
      <c r="M375" s="5" t="str">
        <f>_xlfn.XLOOKUP(N375,enums!$C:$C,enums!$B:$B,"")</f>
        <v>经典跑车</v>
      </c>
      <c r="N375" s="6" t="s">
        <v>261</v>
      </c>
    </row>
    <row r="376" ht="33" spans="1:14">
      <c r="A376" s="8" t="s">
        <v>1278</v>
      </c>
      <c r="B376" s="9">
        <v>49</v>
      </c>
      <c r="C376" s="9">
        <v>70</v>
      </c>
      <c r="D376" s="9" t="s">
        <v>1229</v>
      </c>
      <c r="E376" s="9">
        <v>18</v>
      </c>
      <c r="F376" s="9" t="s">
        <v>1279</v>
      </c>
      <c r="G376" s="10" t="s">
        <v>469</v>
      </c>
      <c r="H376" s="8" t="s">
        <v>18</v>
      </c>
      <c r="I376" s="12">
        <v>250000</v>
      </c>
      <c r="J376" s="15" t="s">
        <v>46</v>
      </c>
      <c r="K376" s="9" t="s">
        <v>266</v>
      </c>
      <c r="L376" s="9" t="s">
        <v>824</v>
      </c>
      <c r="M376" s="5" t="str">
        <f>_xlfn.XLOOKUP(N376,enums!$C:$C,enums!$B:$B,"")</f>
        <v>经典跑车</v>
      </c>
      <c r="N376" s="6" t="s">
        <v>261</v>
      </c>
    </row>
    <row r="377" ht="33" spans="1:14">
      <c r="A377" s="8" t="s">
        <v>1280</v>
      </c>
      <c r="B377" s="9">
        <v>50</v>
      </c>
      <c r="C377" s="9">
        <v>72</v>
      </c>
      <c r="D377" s="9" t="s">
        <v>1281</v>
      </c>
      <c r="E377" s="9">
        <v>1</v>
      </c>
      <c r="F377" s="9" t="s">
        <v>1282</v>
      </c>
      <c r="G377" s="10" t="s">
        <v>37</v>
      </c>
      <c r="H377" s="8" t="s">
        <v>26</v>
      </c>
      <c r="I377" s="12">
        <v>220000</v>
      </c>
      <c r="J377" s="15" t="s">
        <v>46</v>
      </c>
      <c r="K377" s="9" t="s">
        <v>132</v>
      </c>
      <c r="L377" s="9" t="s">
        <v>272</v>
      </c>
      <c r="M377" s="5" t="str">
        <f>_xlfn.XLOOKUP(N377,enums!$C:$C,enums!$B:$B,"")</f>
        <v>现代超级跑车</v>
      </c>
      <c r="N377" s="6" t="s">
        <v>48</v>
      </c>
    </row>
    <row r="378" ht="33" spans="1:14">
      <c r="A378" s="8" t="s">
        <v>1283</v>
      </c>
      <c r="B378" s="9">
        <v>50</v>
      </c>
      <c r="C378" s="9">
        <v>72</v>
      </c>
      <c r="D378" s="9" t="s">
        <v>1281</v>
      </c>
      <c r="E378" s="9">
        <v>2</v>
      </c>
      <c r="F378" s="9" t="s">
        <v>1284</v>
      </c>
      <c r="G378" s="10" t="s">
        <v>61</v>
      </c>
      <c r="H378" s="8" t="s">
        <v>26</v>
      </c>
      <c r="I378" s="12">
        <v>358000</v>
      </c>
      <c r="J378" s="15" t="s">
        <v>46</v>
      </c>
      <c r="K378" s="9" t="s">
        <v>132</v>
      </c>
      <c r="L378" s="9" t="s">
        <v>1097</v>
      </c>
      <c r="M378" s="5" t="str">
        <f>_xlfn.XLOOKUP(N378,enums!$C:$C,enums!$B:$B,"")</f>
        <v>赛道玩具</v>
      </c>
      <c r="N378" s="6" t="s">
        <v>273</v>
      </c>
    </row>
    <row r="379" ht="33" spans="1:14">
      <c r="A379" s="8" t="s">
        <v>1285</v>
      </c>
      <c r="B379" s="9">
        <v>50</v>
      </c>
      <c r="C379" s="9">
        <v>72</v>
      </c>
      <c r="D379" s="9" t="s">
        <v>1281</v>
      </c>
      <c r="E379" s="9">
        <v>3</v>
      </c>
      <c r="F379" s="9" t="s">
        <v>1286</v>
      </c>
      <c r="G379" s="10" t="s">
        <v>61</v>
      </c>
      <c r="H379" s="8" t="s">
        <v>18</v>
      </c>
      <c r="I379" s="12">
        <v>3400000</v>
      </c>
      <c r="J379" s="15" t="s">
        <v>46</v>
      </c>
      <c r="K379" s="9" t="s">
        <v>132</v>
      </c>
      <c r="L379" s="9" t="s">
        <v>1287</v>
      </c>
      <c r="M379" s="5" t="str">
        <f>_xlfn.XLOOKUP(N379,enums!$C:$C,enums!$B:$B,"")</f>
        <v>顶级超跑</v>
      </c>
      <c r="N379" s="6" t="s">
        <v>142</v>
      </c>
    </row>
    <row r="380" ht="33" spans="1:14">
      <c r="A380" s="8" t="s">
        <v>1288</v>
      </c>
      <c r="B380" s="9">
        <v>50</v>
      </c>
      <c r="C380" s="9">
        <v>72</v>
      </c>
      <c r="D380" s="9" t="s">
        <v>1281</v>
      </c>
      <c r="E380" s="9">
        <v>4</v>
      </c>
      <c r="F380" s="9" t="s">
        <v>1289</v>
      </c>
      <c r="G380" s="10" t="s">
        <v>61</v>
      </c>
      <c r="H380" s="8" t="s">
        <v>124</v>
      </c>
      <c r="I380" s="12">
        <v>260000</v>
      </c>
      <c r="J380" s="15" t="s">
        <v>46</v>
      </c>
      <c r="K380" s="9" t="s">
        <v>132</v>
      </c>
      <c r="L380" s="9" t="s">
        <v>608</v>
      </c>
      <c r="M380" s="5" t="str">
        <f>_xlfn.XLOOKUP(N380,enums!$C:$C,enums!$B:$B,"")</f>
        <v>赛道玩具</v>
      </c>
      <c r="N380" s="6" t="s">
        <v>273</v>
      </c>
    </row>
    <row r="381" ht="33" spans="1:14">
      <c r="A381" s="8" t="s">
        <v>1290</v>
      </c>
      <c r="B381" s="9">
        <v>50</v>
      </c>
      <c r="C381" s="9">
        <v>72</v>
      </c>
      <c r="D381" s="9" t="s">
        <v>1281</v>
      </c>
      <c r="E381" s="9">
        <v>5</v>
      </c>
      <c r="F381" s="9" t="s">
        <v>1291</v>
      </c>
      <c r="G381" s="10" t="s">
        <v>123</v>
      </c>
      <c r="H381" s="8" t="s">
        <v>26</v>
      </c>
      <c r="I381" s="12">
        <v>2000000</v>
      </c>
      <c r="J381" s="16" t="s">
        <v>91</v>
      </c>
      <c r="K381" s="9" t="s">
        <v>132</v>
      </c>
      <c r="L381" s="9" t="s">
        <v>1292</v>
      </c>
      <c r="M381" s="5" t="str">
        <f>_xlfn.XLOOKUP(N381,enums!$C:$C,enums!$B:$B,"")</f>
        <v>顶级超跑</v>
      </c>
      <c r="N381" s="6" t="s">
        <v>142</v>
      </c>
    </row>
    <row r="382" ht="33" spans="1:14">
      <c r="A382" s="8" t="s">
        <v>1293</v>
      </c>
      <c r="B382" s="9">
        <v>50</v>
      </c>
      <c r="C382" s="9">
        <v>72</v>
      </c>
      <c r="D382" s="9" t="s">
        <v>1281</v>
      </c>
      <c r="E382" s="9">
        <v>6</v>
      </c>
      <c r="F382" s="9" t="s">
        <v>1294</v>
      </c>
      <c r="G382" s="10" t="s">
        <v>198</v>
      </c>
      <c r="H382" s="8" t="s">
        <v>72</v>
      </c>
      <c r="I382" s="12">
        <v>260000</v>
      </c>
      <c r="J382" s="15" t="s">
        <v>46</v>
      </c>
      <c r="K382" s="9" t="s">
        <v>132</v>
      </c>
      <c r="L382" s="9" t="s">
        <v>623</v>
      </c>
      <c r="M382" s="5" t="str">
        <f>_xlfn.XLOOKUP(N382,enums!$C:$C,enums!$B:$B,"")</f>
        <v>赛道玩具</v>
      </c>
      <c r="N382" s="6" t="s">
        <v>273</v>
      </c>
    </row>
    <row r="383" ht="33" spans="1:14">
      <c r="A383" s="8" t="s">
        <v>1295</v>
      </c>
      <c r="B383" s="9">
        <v>50</v>
      </c>
      <c r="C383" s="9">
        <v>72</v>
      </c>
      <c r="D383" s="9" t="s">
        <v>1281</v>
      </c>
      <c r="E383" s="9">
        <v>7</v>
      </c>
      <c r="F383" s="9" t="s">
        <v>1296</v>
      </c>
      <c r="G383" s="10" t="s">
        <v>114</v>
      </c>
      <c r="H383" s="8" t="s">
        <v>26</v>
      </c>
      <c r="I383" s="12">
        <v>130000</v>
      </c>
      <c r="J383" s="15" t="s">
        <v>46</v>
      </c>
      <c r="K383" s="9" t="s">
        <v>132</v>
      </c>
      <c r="L383" s="9" t="s">
        <v>650</v>
      </c>
      <c r="M383" s="5" t="str">
        <f>_xlfn.XLOOKUP(N383,enums!$C:$C,enums!$B:$B,"")</f>
        <v>现代超级跑车</v>
      </c>
      <c r="N383" s="6" t="s">
        <v>48</v>
      </c>
    </row>
    <row r="384" ht="33" spans="1:14">
      <c r="A384" s="8" t="s">
        <v>1297</v>
      </c>
      <c r="B384" s="9">
        <v>50</v>
      </c>
      <c r="C384" s="9">
        <v>72</v>
      </c>
      <c r="D384" s="9" t="s">
        <v>1281</v>
      </c>
      <c r="E384" s="9">
        <v>8</v>
      </c>
      <c r="F384" s="9" t="s">
        <v>1298</v>
      </c>
      <c r="G384" s="10" t="s">
        <v>71</v>
      </c>
      <c r="H384" s="8" t="s">
        <v>26</v>
      </c>
      <c r="I384" s="12">
        <v>130000</v>
      </c>
      <c r="J384" s="15" t="s">
        <v>46</v>
      </c>
      <c r="K384" s="9" t="s">
        <v>132</v>
      </c>
      <c r="L384" s="9" t="s">
        <v>1299</v>
      </c>
      <c r="M384" s="5" t="str">
        <f>_xlfn.XLOOKUP(N384,enums!$C:$C,enums!$B:$B,"")</f>
        <v>现代超级跑车</v>
      </c>
      <c r="N384" s="6" t="s">
        <v>48</v>
      </c>
    </row>
    <row r="385" ht="33" spans="1:14">
      <c r="A385" s="8" t="s">
        <v>1300</v>
      </c>
      <c r="B385" s="9">
        <v>50</v>
      </c>
      <c r="C385" s="9">
        <v>72</v>
      </c>
      <c r="D385" s="9" t="s">
        <v>1281</v>
      </c>
      <c r="E385" s="9">
        <v>9</v>
      </c>
      <c r="F385" s="9" t="s">
        <v>1301</v>
      </c>
      <c r="G385" s="10" t="s">
        <v>136</v>
      </c>
      <c r="H385" s="8" t="s">
        <v>26</v>
      </c>
      <c r="I385" s="12">
        <v>1550000</v>
      </c>
      <c r="J385" s="16" t="s">
        <v>91</v>
      </c>
      <c r="K385" s="9" t="s">
        <v>132</v>
      </c>
      <c r="L385" s="9" t="s">
        <v>1302</v>
      </c>
      <c r="M385" s="5" t="str">
        <f>_xlfn.XLOOKUP(N385,enums!$C:$C,enums!$B:$B,"")</f>
        <v>顶级超跑</v>
      </c>
      <c r="N385" s="6" t="s">
        <v>142</v>
      </c>
    </row>
    <row r="386" ht="33" spans="1:14">
      <c r="A386" s="8" t="s">
        <v>1303</v>
      </c>
      <c r="B386" s="9">
        <v>50</v>
      </c>
      <c r="C386" s="9">
        <v>72</v>
      </c>
      <c r="D386" s="9" t="s">
        <v>1281</v>
      </c>
      <c r="E386" s="9">
        <v>10</v>
      </c>
      <c r="F386" s="9" t="s">
        <v>1304</v>
      </c>
      <c r="G386" s="10" t="s">
        <v>221</v>
      </c>
      <c r="H386" s="8" t="s">
        <v>26</v>
      </c>
      <c r="I386" s="12">
        <v>105000</v>
      </c>
      <c r="J386" s="15" t="s">
        <v>46</v>
      </c>
      <c r="K386" s="9" t="s">
        <v>132</v>
      </c>
      <c r="L386" s="9" t="s">
        <v>439</v>
      </c>
      <c r="M386" s="5" t="str">
        <f>_xlfn.XLOOKUP(N386,enums!$C:$C,enums!$B:$B,"")</f>
        <v>现代超级跑车</v>
      </c>
      <c r="N386" s="6" t="s">
        <v>48</v>
      </c>
    </row>
    <row r="387" ht="33" spans="1:14">
      <c r="A387" s="8" t="s">
        <v>1305</v>
      </c>
      <c r="B387" s="9">
        <v>50</v>
      </c>
      <c r="C387" s="9">
        <v>72</v>
      </c>
      <c r="D387" s="9" t="s">
        <v>1281</v>
      </c>
      <c r="E387" s="9">
        <v>11</v>
      </c>
      <c r="F387" s="9" t="s">
        <v>1306</v>
      </c>
      <c r="G387" s="10" t="s">
        <v>355</v>
      </c>
      <c r="H387" s="8" t="s">
        <v>26</v>
      </c>
      <c r="I387" s="12">
        <v>5500000</v>
      </c>
      <c r="J387" s="16" t="s">
        <v>91</v>
      </c>
      <c r="K387" s="9" t="s">
        <v>132</v>
      </c>
      <c r="L387" s="9" t="s">
        <v>179</v>
      </c>
      <c r="M387" s="5" t="str">
        <f>_xlfn.XLOOKUP(N387,enums!$C:$C,enums!$B:$B,"")</f>
        <v>复古超级轿车</v>
      </c>
      <c r="N387" s="6" t="s">
        <v>378</v>
      </c>
    </row>
    <row r="388" ht="33" spans="1:14">
      <c r="A388" s="8" t="s">
        <v>1307</v>
      </c>
      <c r="B388" s="9">
        <v>50</v>
      </c>
      <c r="C388" s="9">
        <v>72</v>
      </c>
      <c r="D388" s="9" t="s">
        <v>1281</v>
      </c>
      <c r="E388" s="9">
        <v>12</v>
      </c>
      <c r="F388" s="9" t="s">
        <v>1308</v>
      </c>
      <c r="G388" s="10" t="s">
        <v>265</v>
      </c>
      <c r="H388" s="8" t="s">
        <v>26</v>
      </c>
      <c r="I388" s="12">
        <v>5000000</v>
      </c>
      <c r="J388" s="16" t="s">
        <v>91</v>
      </c>
      <c r="K388" s="9" t="s">
        <v>132</v>
      </c>
      <c r="L388" s="9" t="s">
        <v>1309</v>
      </c>
      <c r="M388" s="5" t="str">
        <f>_xlfn.XLOOKUP(N388,enums!$C:$C,enums!$B:$B,"")</f>
        <v>复古超级轿车</v>
      </c>
      <c r="N388" s="6" t="s">
        <v>378</v>
      </c>
    </row>
    <row r="389" ht="49.5" spans="1:14">
      <c r="A389" s="8" t="s">
        <v>1310</v>
      </c>
      <c r="B389" s="9">
        <v>51</v>
      </c>
      <c r="C389" s="9">
        <v>73</v>
      </c>
      <c r="D389" s="9" t="s">
        <v>1311</v>
      </c>
      <c r="E389" s="9">
        <v>1</v>
      </c>
      <c r="F389" s="9" t="s">
        <v>1312</v>
      </c>
      <c r="G389" s="10" t="s">
        <v>61</v>
      </c>
      <c r="H389" s="8" t="s">
        <v>26</v>
      </c>
      <c r="I389" s="12">
        <v>2800000</v>
      </c>
      <c r="J389" s="16" t="s">
        <v>91</v>
      </c>
      <c r="K389" s="9" t="s">
        <v>125</v>
      </c>
      <c r="L389" s="9" t="s">
        <v>656</v>
      </c>
      <c r="M389" s="5" t="str">
        <f>_xlfn.XLOOKUP(N389,enums!$C:$C,enums!$B:$B,"")</f>
        <v>顶级超跑</v>
      </c>
      <c r="N389" s="17" t="s">
        <v>142</v>
      </c>
    </row>
    <row r="390" ht="49.5" spans="1:14">
      <c r="A390" s="8" t="s">
        <v>1313</v>
      </c>
      <c r="B390" s="9">
        <v>51</v>
      </c>
      <c r="C390" s="9">
        <v>73</v>
      </c>
      <c r="D390" s="9" t="s">
        <v>1311</v>
      </c>
      <c r="E390" s="9">
        <v>2</v>
      </c>
      <c r="F390" s="9" t="s">
        <v>1314</v>
      </c>
      <c r="G390" s="10" t="s">
        <v>61</v>
      </c>
      <c r="H390" s="8" t="s">
        <v>38</v>
      </c>
      <c r="I390" s="12">
        <v>440000</v>
      </c>
      <c r="J390" s="15" t="s">
        <v>46</v>
      </c>
      <c r="K390" s="9" t="s">
        <v>125</v>
      </c>
      <c r="L390" s="9" t="s">
        <v>1315</v>
      </c>
      <c r="M390" s="5" t="str">
        <f>_xlfn.XLOOKUP(N390,enums!$C:$C,enums!$B:$B,"")</f>
        <v>赛道玩具</v>
      </c>
      <c r="N390" s="17" t="s">
        <v>273</v>
      </c>
    </row>
    <row r="391" ht="49.5" spans="1:14">
      <c r="A391" s="8" t="s">
        <v>1316</v>
      </c>
      <c r="B391" s="9">
        <v>51</v>
      </c>
      <c r="C391" s="9">
        <v>73</v>
      </c>
      <c r="D391" s="9" t="s">
        <v>1311</v>
      </c>
      <c r="E391" s="9">
        <v>3</v>
      </c>
      <c r="F391" s="9" t="s">
        <v>1317</v>
      </c>
      <c r="G391" s="10" t="s">
        <v>61</v>
      </c>
      <c r="H391" s="8" t="s">
        <v>26</v>
      </c>
      <c r="I391" s="12">
        <v>120000</v>
      </c>
      <c r="J391" s="14" t="s">
        <v>39</v>
      </c>
      <c r="K391" s="9" t="s">
        <v>125</v>
      </c>
      <c r="L391" s="9" t="s">
        <v>1318</v>
      </c>
      <c r="M391" s="5" t="str">
        <f>_xlfn.XLOOKUP(N391,enums!$C:$C,enums!$B:$B,"")</f>
        <v>GT 赛车</v>
      </c>
      <c r="N391" s="6" t="s">
        <v>79</v>
      </c>
    </row>
    <row r="392" ht="49.5" spans="1:14">
      <c r="A392" s="8" t="s">
        <v>1319</v>
      </c>
      <c r="B392" s="9">
        <v>51</v>
      </c>
      <c r="C392" s="9">
        <v>73</v>
      </c>
      <c r="D392" s="9" t="s">
        <v>1311</v>
      </c>
      <c r="E392" s="9">
        <v>4</v>
      </c>
      <c r="F392" s="9" t="s">
        <v>1320</v>
      </c>
      <c r="G392" s="10" t="s">
        <v>191</v>
      </c>
      <c r="H392" s="8" t="s">
        <v>303</v>
      </c>
      <c r="I392" s="12">
        <v>200000</v>
      </c>
      <c r="J392" s="16" t="s">
        <v>91</v>
      </c>
      <c r="K392" s="9" t="s">
        <v>125</v>
      </c>
      <c r="L392" s="9" t="s">
        <v>656</v>
      </c>
      <c r="M392" s="5" t="str">
        <f>_xlfn.XLOOKUP(N392,enums!$C:$C,enums!$B:$B,"")</f>
        <v>赛道玩具</v>
      </c>
      <c r="N392" s="17" t="s">
        <v>273</v>
      </c>
    </row>
    <row r="393" ht="49.5" spans="1:14">
      <c r="A393" s="8" t="s">
        <v>1321</v>
      </c>
      <c r="B393" s="9">
        <v>51</v>
      </c>
      <c r="C393" s="9">
        <v>73</v>
      </c>
      <c r="D393" s="9" t="s">
        <v>1311</v>
      </c>
      <c r="E393" s="9">
        <v>5</v>
      </c>
      <c r="F393" s="9" t="s">
        <v>1322</v>
      </c>
      <c r="G393" s="10" t="s">
        <v>191</v>
      </c>
      <c r="H393" s="8" t="s">
        <v>26</v>
      </c>
      <c r="I393" s="12">
        <v>50000</v>
      </c>
      <c r="J393" s="14" t="s">
        <v>39</v>
      </c>
      <c r="K393" s="9" t="s">
        <v>125</v>
      </c>
      <c r="L393" s="9" t="s">
        <v>215</v>
      </c>
      <c r="M393" s="5" t="str">
        <f>_xlfn.XLOOKUP(N393,enums!$C:$C,enums!$B:$B,"")</f>
        <v>现代跑车</v>
      </c>
      <c r="N393" s="6" t="s">
        <v>74</v>
      </c>
    </row>
    <row r="394" ht="49.5" spans="1:14">
      <c r="A394" s="8" t="s">
        <v>1323</v>
      </c>
      <c r="B394" s="9">
        <v>51</v>
      </c>
      <c r="C394" s="9">
        <v>73</v>
      </c>
      <c r="D394" s="9" t="s">
        <v>1311</v>
      </c>
      <c r="E394" s="9">
        <v>6</v>
      </c>
      <c r="F394" s="9" t="s">
        <v>1324</v>
      </c>
      <c r="G394" s="10" t="s">
        <v>198</v>
      </c>
      <c r="H394" s="8" t="s">
        <v>26</v>
      </c>
      <c r="I394" s="12">
        <v>63000</v>
      </c>
      <c r="J394" s="15" t="s">
        <v>46</v>
      </c>
      <c r="K394" s="9" t="s">
        <v>125</v>
      </c>
      <c r="L394" s="9" t="s">
        <v>1325</v>
      </c>
      <c r="M394" s="5" t="str">
        <f>_xlfn.XLOOKUP(N394,enums!$C:$C,enums!$B:$B,"")</f>
        <v>现代超级轿车</v>
      </c>
      <c r="N394" s="6" t="s">
        <v>64</v>
      </c>
    </row>
    <row r="395" ht="49.5" spans="1:14">
      <c r="A395" s="8" t="s">
        <v>1326</v>
      </c>
      <c r="B395" s="9">
        <v>51</v>
      </c>
      <c r="C395" s="9">
        <v>73</v>
      </c>
      <c r="D395" s="9" t="s">
        <v>1311</v>
      </c>
      <c r="E395" s="9">
        <v>7</v>
      </c>
      <c r="F395" s="9" t="s">
        <v>1327</v>
      </c>
      <c r="G395" s="10" t="s">
        <v>198</v>
      </c>
      <c r="H395" s="8" t="s">
        <v>124</v>
      </c>
      <c r="I395" s="12">
        <v>250000</v>
      </c>
      <c r="J395" s="15" t="s">
        <v>46</v>
      </c>
      <c r="K395" s="9" t="s">
        <v>125</v>
      </c>
      <c r="L395" s="9" t="s">
        <v>1328</v>
      </c>
      <c r="M395" s="5" t="str">
        <f>_xlfn.XLOOKUP(N395,enums!$C:$C,enums!$B:$B,"")</f>
        <v>现代超级轿车</v>
      </c>
      <c r="N395" s="6" t="s">
        <v>64</v>
      </c>
    </row>
    <row r="396" ht="49.5" spans="1:14">
      <c r="A396" s="8" t="s">
        <v>1329</v>
      </c>
      <c r="B396" s="9">
        <v>51</v>
      </c>
      <c r="C396" s="9">
        <v>73</v>
      </c>
      <c r="D396" s="9" t="s">
        <v>1311</v>
      </c>
      <c r="E396" s="9">
        <v>8</v>
      </c>
      <c r="F396" s="9" t="s">
        <v>1330</v>
      </c>
      <c r="G396" s="10" t="s">
        <v>67</v>
      </c>
      <c r="H396" s="8" t="s">
        <v>18</v>
      </c>
      <c r="I396" s="12">
        <v>250000</v>
      </c>
      <c r="J396" s="15" t="s">
        <v>46</v>
      </c>
      <c r="K396" s="9" t="s">
        <v>125</v>
      </c>
      <c r="L396" s="9" t="s">
        <v>1331</v>
      </c>
      <c r="M396" s="5" t="str">
        <f>_xlfn.XLOOKUP(N396,enums!$C:$C,enums!$B:$B,"")</f>
        <v>超级豪华旅行车</v>
      </c>
      <c r="N396" s="6" t="s">
        <v>157</v>
      </c>
    </row>
    <row r="397" ht="49.5" spans="1:14">
      <c r="A397" s="8" t="s">
        <v>1332</v>
      </c>
      <c r="B397" s="9">
        <v>51</v>
      </c>
      <c r="C397" s="9">
        <v>73</v>
      </c>
      <c r="D397" s="9" t="s">
        <v>1311</v>
      </c>
      <c r="E397" s="9">
        <v>9</v>
      </c>
      <c r="F397" s="9" t="s">
        <v>1333</v>
      </c>
      <c r="G397" s="10" t="s">
        <v>17</v>
      </c>
      <c r="H397" s="8" t="s">
        <v>26</v>
      </c>
      <c r="I397" s="12">
        <v>34000</v>
      </c>
      <c r="J397" s="14" t="s">
        <v>39</v>
      </c>
      <c r="K397" s="9" t="s">
        <v>125</v>
      </c>
      <c r="L397" s="9" t="s">
        <v>536</v>
      </c>
      <c r="M397" s="5" t="str">
        <f>_xlfn.XLOOKUP(N397,enums!$C:$C,enums!$B:$B,"")</f>
        <v>现代超级轿车</v>
      </c>
      <c r="N397" s="6" t="s">
        <v>64</v>
      </c>
    </row>
    <row r="398" ht="49.5" spans="1:14">
      <c r="A398" s="8" t="s">
        <v>1334</v>
      </c>
      <c r="B398" s="9">
        <v>51</v>
      </c>
      <c r="C398" s="9">
        <v>73</v>
      </c>
      <c r="D398" s="9" t="s">
        <v>1311</v>
      </c>
      <c r="E398" s="9">
        <v>10</v>
      </c>
      <c r="F398" s="9" t="s">
        <v>1335</v>
      </c>
      <c r="G398" s="10" t="s">
        <v>114</v>
      </c>
      <c r="H398" s="8" t="s">
        <v>26</v>
      </c>
      <c r="I398" s="12">
        <v>90000</v>
      </c>
      <c r="J398" s="14" t="s">
        <v>39</v>
      </c>
      <c r="K398" s="9" t="s">
        <v>125</v>
      </c>
      <c r="L398" s="9" t="s">
        <v>1336</v>
      </c>
      <c r="M398" s="5" t="str">
        <f>_xlfn.XLOOKUP(N398,enums!$C:$C,enums!$B:$B,"")</f>
        <v>超级豪华旅行车</v>
      </c>
      <c r="N398" s="6" t="s">
        <v>157</v>
      </c>
    </row>
    <row r="399" ht="49.5" spans="1:14">
      <c r="A399" s="8" t="s">
        <v>1337</v>
      </c>
      <c r="B399" s="9">
        <v>52</v>
      </c>
      <c r="C399" s="9">
        <v>74</v>
      </c>
      <c r="D399" s="9" t="s">
        <v>1338</v>
      </c>
      <c r="E399" s="9">
        <v>1</v>
      </c>
      <c r="F399" s="9" t="s">
        <v>1339</v>
      </c>
      <c r="G399" s="10" t="s">
        <v>198</v>
      </c>
      <c r="H399" s="8" t="s">
        <v>26</v>
      </c>
      <c r="I399" s="12">
        <v>50000</v>
      </c>
      <c r="J399" s="13" t="s">
        <v>19</v>
      </c>
      <c r="K399" s="9" t="s">
        <v>125</v>
      </c>
      <c r="L399" s="9" t="s">
        <v>1340</v>
      </c>
      <c r="M399" s="5" t="str">
        <f>_xlfn.XLOOKUP(N399,enums!$C:$C,enums!$B:$B,"")</f>
        <v>皮卡和四轮驱动车</v>
      </c>
      <c r="N399" s="6" t="s">
        <v>430</v>
      </c>
    </row>
    <row r="400" ht="49.5" spans="1:14">
      <c r="A400" s="8" t="s">
        <v>1341</v>
      </c>
      <c r="B400" s="9">
        <v>52</v>
      </c>
      <c r="C400" s="9">
        <v>74</v>
      </c>
      <c r="D400" s="9" t="s">
        <v>1338</v>
      </c>
      <c r="E400" s="9">
        <v>2</v>
      </c>
      <c r="F400" s="9" t="s">
        <v>1342</v>
      </c>
      <c r="G400" s="10" t="s">
        <v>71</v>
      </c>
      <c r="H400" s="8" t="s">
        <v>124</v>
      </c>
      <c r="I400" s="12">
        <v>780000</v>
      </c>
      <c r="J400" s="15" t="s">
        <v>46</v>
      </c>
      <c r="K400" s="9" t="s">
        <v>125</v>
      </c>
      <c r="L400" s="9" t="s">
        <v>1160</v>
      </c>
      <c r="M400" s="5" t="str">
        <f>_xlfn.XLOOKUP(N400,enums!$C:$C,enums!$B:$B,"")</f>
        <v>皮卡和四轮驱动车</v>
      </c>
      <c r="N400" s="6" t="s">
        <v>430</v>
      </c>
    </row>
    <row r="401" ht="49.5" spans="1:14">
      <c r="A401" s="8" t="s">
        <v>1343</v>
      </c>
      <c r="B401" s="9">
        <v>52</v>
      </c>
      <c r="C401" s="9">
        <v>74</v>
      </c>
      <c r="D401" s="9" t="s">
        <v>1338</v>
      </c>
      <c r="E401" s="9">
        <v>3</v>
      </c>
      <c r="F401" s="9" t="s">
        <v>1344</v>
      </c>
      <c r="G401" s="10" t="s">
        <v>71</v>
      </c>
      <c r="H401" s="8" t="s">
        <v>26</v>
      </c>
      <c r="I401" s="12">
        <v>235000</v>
      </c>
      <c r="J401" s="14" t="s">
        <v>39</v>
      </c>
      <c r="K401" s="9" t="s">
        <v>125</v>
      </c>
      <c r="L401" s="9" t="s">
        <v>32</v>
      </c>
      <c r="M401" s="5" t="str">
        <f>_xlfn.XLOOKUP(N401,enums!$C:$C,enums!$B:$B,"")</f>
        <v>越野车</v>
      </c>
      <c r="N401" s="6" t="s">
        <v>734</v>
      </c>
    </row>
    <row r="402" ht="49.5" spans="1:14">
      <c r="A402" s="8" t="s">
        <v>1345</v>
      </c>
      <c r="B402" s="9">
        <v>52</v>
      </c>
      <c r="C402" s="9">
        <v>74</v>
      </c>
      <c r="D402" s="9" t="s">
        <v>1338</v>
      </c>
      <c r="E402" s="9">
        <v>4</v>
      </c>
      <c r="F402" s="9" t="s">
        <v>1346</v>
      </c>
      <c r="G402" s="10" t="s">
        <v>136</v>
      </c>
      <c r="H402" s="8" t="s">
        <v>26</v>
      </c>
      <c r="I402" s="12">
        <v>25000</v>
      </c>
      <c r="J402" s="14" t="s">
        <v>39</v>
      </c>
      <c r="K402" s="9" t="s">
        <v>125</v>
      </c>
      <c r="L402" s="9" t="s">
        <v>1347</v>
      </c>
      <c r="M402" s="5" t="str">
        <f>_xlfn.XLOOKUP(N402,enums!$C:$C,enums!$B:$B,"")</f>
        <v>超高性能掀背车</v>
      </c>
      <c r="N402" s="6" t="s">
        <v>226</v>
      </c>
    </row>
    <row r="403" ht="49.5" spans="1:14">
      <c r="A403" s="8" t="s">
        <v>1348</v>
      </c>
      <c r="B403" s="9">
        <v>52</v>
      </c>
      <c r="C403" s="9">
        <v>74</v>
      </c>
      <c r="D403" s="9" t="s">
        <v>1338</v>
      </c>
      <c r="E403" s="9">
        <v>5</v>
      </c>
      <c r="F403" s="9" t="s">
        <v>1349</v>
      </c>
      <c r="G403" s="10" t="s">
        <v>136</v>
      </c>
      <c r="H403" s="8" t="s">
        <v>1350</v>
      </c>
      <c r="I403" s="12">
        <v>120000</v>
      </c>
      <c r="J403" s="14" t="s">
        <v>39</v>
      </c>
      <c r="K403" s="9" t="s">
        <v>125</v>
      </c>
      <c r="L403" s="9" t="s">
        <v>762</v>
      </c>
      <c r="M403" s="5" t="str">
        <f>_xlfn.XLOOKUP(N403,enums!$C:$C,enums!$B:$B,"")</f>
        <v>皮卡和四轮驱动车</v>
      </c>
      <c r="N403" s="6" t="s">
        <v>430</v>
      </c>
    </row>
    <row r="404" ht="49.5" spans="1:14">
      <c r="A404" s="8" t="s">
        <v>1351</v>
      </c>
      <c r="B404" s="9">
        <v>52</v>
      </c>
      <c r="C404" s="9">
        <v>74</v>
      </c>
      <c r="D404" s="9" t="s">
        <v>1338</v>
      </c>
      <c r="E404" s="9">
        <v>6</v>
      </c>
      <c r="F404" s="9" t="s">
        <v>1352</v>
      </c>
      <c r="G404" s="10" t="s">
        <v>329</v>
      </c>
      <c r="H404" s="8" t="s">
        <v>72</v>
      </c>
      <c r="I404" s="12">
        <v>175000</v>
      </c>
      <c r="J404" s="15" t="s">
        <v>46</v>
      </c>
      <c r="K404" s="9" t="s">
        <v>125</v>
      </c>
      <c r="L404" s="9" t="s">
        <v>1353</v>
      </c>
      <c r="M404" s="5" t="str">
        <f>_xlfn.XLOOKUP(N404,enums!$C:$C,enums!$B:$B,"")</f>
        <v>现代超级轿车</v>
      </c>
      <c r="N404" s="6" t="s">
        <v>64</v>
      </c>
    </row>
    <row r="405" ht="49.5" spans="1:14">
      <c r="A405" s="8" t="s">
        <v>1354</v>
      </c>
      <c r="B405" s="9">
        <v>52</v>
      </c>
      <c r="C405" s="9">
        <v>74</v>
      </c>
      <c r="D405" s="9" t="s">
        <v>1338</v>
      </c>
      <c r="E405" s="9">
        <v>7</v>
      </c>
      <c r="F405" s="9" t="s">
        <v>1355</v>
      </c>
      <c r="G405" s="10" t="s">
        <v>232</v>
      </c>
      <c r="H405" s="8" t="s">
        <v>26</v>
      </c>
      <c r="I405" s="12">
        <v>360000</v>
      </c>
      <c r="J405" s="15" t="s">
        <v>46</v>
      </c>
      <c r="K405" s="9" t="s">
        <v>125</v>
      </c>
      <c r="L405" s="9" t="s">
        <v>426</v>
      </c>
      <c r="M405" s="5" t="str">
        <f>_xlfn.XLOOKUP(N405,enums!$C:$C,enums!$B:$B,"")</f>
        <v>超级豪华旅行车</v>
      </c>
      <c r="N405" s="6" t="s">
        <v>157</v>
      </c>
    </row>
    <row r="406" ht="49.5" spans="1:14">
      <c r="A406" s="8" t="s">
        <v>1356</v>
      </c>
      <c r="B406" s="9">
        <v>52</v>
      </c>
      <c r="C406" s="9">
        <v>74</v>
      </c>
      <c r="D406" s="9" t="s">
        <v>1338</v>
      </c>
      <c r="E406" s="9">
        <v>8</v>
      </c>
      <c r="F406" s="9" t="s">
        <v>1357</v>
      </c>
      <c r="G406" s="10" t="s">
        <v>1358</v>
      </c>
      <c r="H406" s="8" t="s">
        <v>124</v>
      </c>
      <c r="I406" s="12">
        <v>3600000</v>
      </c>
      <c r="J406" s="16" t="s">
        <v>91</v>
      </c>
      <c r="K406" s="9" t="s">
        <v>125</v>
      </c>
      <c r="L406" s="9" t="s">
        <v>1309</v>
      </c>
      <c r="M406" s="5" t="str">
        <f>_xlfn.XLOOKUP(N406,enums!$C:$C,enums!$B:$B,"")</f>
        <v>复古超级轿车</v>
      </c>
      <c r="N406" s="6" t="s">
        <v>378</v>
      </c>
    </row>
    <row r="407" ht="49.5" spans="1:14">
      <c r="A407" s="8" t="s">
        <v>1359</v>
      </c>
      <c r="B407" s="9">
        <v>52</v>
      </c>
      <c r="C407" s="9">
        <v>74</v>
      </c>
      <c r="D407" s="9" t="s">
        <v>1338</v>
      </c>
      <c r="E407" s="9">
        <v>9</v>
      </c>
      <c r="F407" s="9" t="s">
        <v>1360</v>
      </c>
      <c r="G407" s="10" t="s">
        <v>87</v>
      </c>
      <c r="H407" s="8" t="s">
        <v>124</v>
      </c>
      <c r="I407" s="12">
        <v>750000</v>
      </c>
      <c r="J407" s="18" t="s">
        <v>290</v>
      </c>
      <c r="K407" s="9" t="s">
        <v>125</v>
      </c>
      <c r="L407" s="9" t="s">
        <v>291</v>
      </c>
      <c r="M407" s="5" t="str">
        <f>_xlfn.XLOOKUP(N407,enums!$C:$C,enums!$B:$B,"")</f>
        <v>赛道玩具</v>
      </c>
      <c r="N407" s="17" t="s">
        <v>273</v>
      </c>
    </row>
    <row r="408" ht="49.5" spans="1:14">
      <c r="A408" s="8" t="s">
        <v>1361</v>
      </c>
      <c r="B408" s="9">
        <v>52</v>
      </c>
      <c r="C408" s="9">
        <v>74</v>
      </c>
      <c r="D408" s="9" t="s">
        <v>1338</v>
      </c>
      <c r="E408" s="9">
        <v>10</v>
      </c>
      <c r="F408" s="9" t="s">
        <v>1362</v>
      </c>
      <c r="G408" s="10" t="s">
        <v>87</v>
      </c>
      <c r="H408" s="8" t="s">
        <v>72</v>
      </c>
      <c r="I408" s="12">
        <v>200000</v>
      </c>
      <c r="J408" s="15" t="s">
        <v>46</v>
      </c>
      <c r="K408" s="9" t="s">
        <v>125</v>
      </c>
      <c r="L408" s="9" t="s">
        <v>1363</v>
      </c>
      <c r="M408" s="5" t="str">
        <f>_xlfn.XLOOKUP(N408,enums!$C:$C,enums!$B:$B,"")</f>
        <v>复古超级跑车</v>
      </c>
      <c r="N408" s="17" t="s">
        <v>84</v>
      </c>
    </row>
    <row r="409" ht="49.5" spans="1:14">
      <c r="A409" s="8" t="s">
        <v>1364</v>
      </c>
      <c r="B409" s="9">
        <v>52</v>
      </c>
      <c r="C409" s="9">
        <v>74</v>
      </c>
      <c r="D409" s="9" t="s">
        <v>1338</v>
      </c>
      <c r="E409" s="9">
        <v>11</v>
      </c>
      <c r="F409" s="9" t="s">
        <v>1365</v>
      </c>
      <c r="G409" s="10" t="s">
        <v>389</v>
      </c>
      <c r="H409" s="8" t="s">
        <v>26</v>
      </c>
      <c r="I409" s="12">
        <v>225000</v>
      </c>
      <c r="J409" s="13" t="s">
        <v>19</v>
      </c>
      <c r="K409" s="9" t="s">
        <v>125</v>
      </c>
      <c r="L409" s="9" t="s">
        <v>225</v>
      </c>
      <c r="M409" s="5" t="str">
        <f>_xlfn.XLOOKUP(N409,enums!$C:$C,enums!$B:$B,"")</f>
        <v>复古超级跑车</v>
      </c>
      <c r="N409" s="6" t="s">
        <v>84</v>
      </c>
    </row>
    <row r="410" ht="49.5" spans="1:14">
      <c r="A410" s="8" t="s">
        <v>1366</v>
      </c>
      <c r="B410" s="9">
        <v>52</v>
      </c>
      <c r="C410" s="9">
        <v>74</v>
      </c>
      <c r="D410" s="9" t="s">
        <v>1338</v>
      </c>
      <c r="E410" s="9">
        <v>12</v>
      </c>
      <c r="F410" s="9" t="s">
        <v>1367</v>
      </c>
      <c r="G410" s="10" t="s">
        <v>507</v>
      </c>
      <c r="H410" s="8" t="s">
        <v>26</v>
      </c>
      <c r="I410" s="12">
        <v>60000000</v>
      </c>
      <c r="J410" s="16" t="s">
        <v>91</v>
      </c>
      <c r="K410" s="9" t="s">
        <v>125</v>
      </c>
      <c r="L410" s="9" t="s">
        <v>1368</v>
      </c>
      <c r="M410" s="5" t="str">
        <f>_xlfn.XLOOKUP(N410,enums!$C:$C,enums!$B:$B,"")</f>
        <v>经典赛车</v>
      </c>
      <c r="N410" s="6" t="s">
        <v>93</v>
      </c>
    </row>
    <row r="411" ht="49.5" spans="1:14">
      <c r="A411" s="8" t="s">
        <v>1369</v>
      </c>
      <c r="B411" s="9">
        <v>52</v>
      </c>
      <c r="C411" s="9">
        <v>74</v>
      </c>
      <c r="D411" s="9" t="s">
        <v>1338</v>
      </c>
      <c r="E411" s="9">
        <v>13</v>
      </c>
      <c r="F411" s="9" t="s">
        <v>1370</v>
      </c>
      <c r="G411" s="10" t="s">
        <v>1371</v>
      </c>
      <c r="H411" s="8" t="s">
        <v>26</v>
      </c>
      <c r="I411" s="12">
        <v>1700000</v>
      </c>
      <c r="J411" s="16" t="s">
        <v>91</v>
      </c>
      <c r="K411" s="9" t="s">
        <v>125</v>
      </c>
      <c r="L411" s="9" t="s">
        <v>837</v>
      </c>
      <c r="M411" s="5" t="str">
        <f>_xlfn.XLOOKUP(N411,enums!$C:$C,enums!$B:$B,"")</f>
        <v>稀有经典车</v>
      </c>
      <c r="N411" s="6" t="s">
        <v>102</v>
      </c>
    </row>
    <row r="412" spans="1:14">
      <c r="A412" s="8" t="s">
        <v>1372</v>
      </c>
      <c r="B412" s="9">
        <v>53</v>
      </c>
      <c r="C412" s="9">
        <v>24</v>
      </c>
      <c r="D412" s="9" t="s">
        <v>1373</v>
      </c>
      <c r="E412" s="9">
        <v>1</v>
      </c>
      <c r="F412" s="9" t="s">
        <v>1374</v>
      </c>
      <c r="G412" s="10" t="s">
        <v>37</v>
      </c>
      <c r="H412" s="8" t="s">
        <v>26</v>
      </c>
      <c r="I412" s="12">
        <v>74000</v>
      </c>
      <c r="J412" s="15" t="s">
        <v>46</v>
      </c>
      <c r="K412" s="9" t="s">
        <v>40</v>
      </c>
      <c r="L412" s="9" t="s">
        <v>21</v>
      </c>
      <c r="M412" s="5" t="str">
        <f>_xlfn.XLOOKUP(N412,enums!$C:$C,enums!$B:$B,"")</f>
        <v>沙滩车</v>
      </c>
      <c r="N412" s="6" t="s">
        <v>1375</v>
      </c>
    </row>
    <row r="413" spans="1:14">
      <c r="A413" s="8" t="s">
        <v>1376</v>
      </c>
      <c r="B413" s="9">
        <v>53</v>
      </c>
      <c r="C413" s="9">
        <v>24</v>
      </c>
      <c r="D413" s="9" t="s">
        <v>1373</v>
      </c>
      <c r="E413" s="9">
        <v>2</v>
      </c>
      <c r="F413" s="9" t="s">
        <v>1377</v>
      </c>
      <c r="G413" s="10" t="s">
        <v>1378</v>
      </c>
      <c r="H413" s="8" t="s">
        <v>26</v>
      </c>
      <c r="I413" s="12">
        <v>34000</v>
      </c>
      <c r="J413" s="15" t="s">
        <v>46</v>
      </c>
      <c r="K413" s="9" t="s">
        <v>40</v>
      </c>
      <c r="L413" s="9" t="s">
        <v>1379</v>
      </c>
      <c r="M413" s="5" t="str">
        <f>_xlfn.XLOOKUP(N413,enums!$C:$C,enums!$B:$B,"")</f>
        <v>沙滩车</v>
      </c>
      <c r="N413" s="6" t="s">
        <v>1375</v>
      </c>
    </row>
    <row r="414" ht="49.5" spans="1:14">
      <c r="A414" s="8" t="s">
        <v>1380</v>
      </c>
      <c r="B414" s="9">
        <v>54</v>
      </c>
      <c r="C414" s="9">
        <v>25</v>
      </c>
      <c r="D414" s="9" t="s">
        <v>1381</v>
      </c>
      <c r="E414" s="9">
        <v>1</v>
      </c>
      <c r="F414" s="9" t="s">
        <v>1382</v>
      </c>
      <c r="G414" s="10" t="s">
        <v>249</v>
      </c>
      <c r="H414" s="8" t="s">
        <v>1383</v>
      </c>
      <c r="I414" s="12">
        <v>220000</v>
      </c>
      <c r="J414" s="16" t="s">
        <v>91</v>
      </c>
      <c r="K414" s="9" t="s">
        <v>132</v>
      </c>
      <c r="L414" s="9" t="s">
        <v>1384</v>
      </c>
      <c r="M414" s="5" t="str">
        <f>_xlfn.XLOOKUP(N414,enums!$C:$C,enums!$B:$B,"")</f>
        <v>拉力赛怪物</v>
      </c>
      <c r="N414" s="6" t="s">
        <v>251</v>
      </c>
    </row>
    <row r="415" spans="1:14">
      <c r="A415" s="8" t="s">
        <v>1385</v>
      </c>
      <c r="B415" s="9">
        <v>55</v>
      </c>
      <c r="C415" s="9">
        <v>26</v>
      </c>
      <c r="D415" s="9" t="s">
        <v>1386</v>
      </c>
      <c r="E415" s="9">
        <v>1</v>
      </c>
      <c r="F415" s="9" t="s">
        <v>1387</v>
      </c>
      <c r="G415" s="10" t="s">
        <v>61</v>
      </c>
      <c r="H415" s="8" t="s">
        <v>18</v>
      </c>
      <c r="I415" s="12">
        <v>250000</v>
      </c>
      <c r="J415" s="14" t="s">
        <v>39</v>
      </c>
      <c r="K415" s="9" t="s">
        <v>132</v>
      </c>
      <c r="L415" s="9" t="s">
        <v>1368</v>
      </c>
      <c r="M415" s="5" t="str">
        <f>_xlfn.XLOOKUP(N415,enums!$C:$C,enums!$B:$B,"")</f>
        <v>超高性能掀背车</v>
      </c>
      <c r="N415" s="6" t="s">
        <v>226</v>
      </c>
    </row>
    <row r="416" ht="66" spans="1:14">
      <c r="A416" s="8" t="s">
        <v>1388</v>
      </c>
      <c r="B416" s="9">
        <v>55</v>
      </c>
      <c r="C416" s="9">
        <v>26</v>
      </c>
      <c r="D416" s="9" t="s">
        <v>1386</v>
      </c>
      <c r="E416" s="9">
        <v>2</v>
      </c>
      <c r="F416" s="9" t="s">
        <v>1389</v>
      </c>
      <c r="G416" s="10" t="s">
        <v>198</v>
      </c>
      <c r="H416" s="8" t="s">
        <v>1390</v>
      </c>
      <c r="I416" s="12">
        <v>425000</v>
      </c>
      <c r="J416" s="15" t="s">
        <v>46</v>
      </c>
      <c r="K416" s="9" t="s">
        <v>132</v>
      </c>
      <c r="L416" s="9" t="s">
        <v>939</v>
      </c>
      <c r="M416" s="5" t="str">
        <f>_xlfn.XLOOKUP(N416,enums!$C:$C,enums!$B:$B,"")</f>
        <v>越野车</v>
      </c>
      <c r="N416" s="6" t="s">
        <v>734</v>
      </c>
    </row>
    <row r="417" ht="33" spans="1:14">
      <c r="A417" s="8" t="s">
        <v>1391</v>
      </c>
      <c r="B417" s="9">
        <v>55</v>
      </c>
      <c r="C417" s="9">
        <v>26</v>
      </c>
      <c r="D417" s="9" t="s">
        <v>1386</v>
      </c>
      <c r="E417" s="9">
        <v>3</v>
      </c>
      <c r="F417" s="9" t="s">
        <v>1392</v>
      </c>
      <c r="G417" s="10" t="s">
        <v>136</v>
      </c>
      <c r="H417" s="8" t="s">
        <v>26</v>
      </c>
      <c r="I417" s="12">
        <v>220000</v>
      </c>
      <c r="J417" s="15" t="s">
        <v>46</v>
      </c>
      <c r="K417" s="9" t="s">
        <v>132</v>
      </c>
      <c r="L417" s="9" t="s">
        <v>1393</v>
      </c>
      <c r="M417" s="5" t="str">
        <f>_xlfn.XLOOKUP(N417,enums!$C:$C,enums!$B:$B,"")</f>
        <v>越野车</v>
      </c>
      <c r="N417" s="6" t="s">
        <v>734</v>
      </c>
    </row>
    <row r="418" spans="1:14">
      <c r="A418" s="8" t="s">
        <v>1394</v>
      </c>
      <c r="B418" s="9">
        <v>55</v>
      </c>
      <c r="C418" s="9">
        <v>26</v>
      </c>
      <c r="D418" s="9" t="s">
        <v>1386</v>
      </c>
      <c r="E418" s="9">
        <v>4</v>
      </c>
      <c r="F418" s="9" t="s">
        <v>1395</v>
      </c>
      <c r="G418" s="10" t="s">
        <v>329</v>
      </c>
      <c r="H418" s="8" t="s">
        <v>26</v>
      </c>
      <c r="I418" s="12">
        <v>30000</v>
      </c>
      <c r="J418" s="14" t="s">
        <v>39</v>
      </c>
      <c r="K418" s="9" t="s">
        <v>132</v>
      </c>
      <c r="L418" s="9" t="s">
        <v>1231</v>
      </c>
      <c r="M418" s="5" t="str">
        <f>_xlfn.XLOOKUP(N418,enums!$C:$C,enums!$B:$B,"")</f>
        <v>高性能掀背车</v>
      </c>
      <c r="N418" s="6" t="s">
        <v>22</v>
      </c>
    </row>
    <row r="419" spans="1:14">
      <c r="A419" s="8" t="s">
        <v>1396</v>
      </c>
      <c r="B419" s="9">
        <v>55</v>
      </c>
      <c r="C419" s="9">
        <v>26</v>
      </c>
      <c r="D419" s="9" t="s">
        <v>1386</v>
      </c>
      <c r="E419" s="9">
        <v>5</v>
      </c>
      <c r="F419" s="9" t="s">
        <v>1397</v>
      </c>
      <c r="G419" s="10" t="s">
        <v>96</v>
      </c>
      <c r="H419" s="8" t="s">
        <v>38</v>
      </c>
      <c r="I419" s="12">
        <v>39000</v>
      </c>
      <c r="J419" s="14" t="s">
        <v>39</v>
      </c>
      <c r="K419" s="9" t="s">
        <v>132</v>
      </c>
      <c r="L419" s="9" t="s">
        <v>1398</v>
      </c>
      <c r="M419" s="5" t="str">
        <f>_xlfn.XLOOKUP(N419,enums!$C:$C,enums!$B:$B,"")</f>
        <v>经典拉力赛车</v>
      </c>
      <c r="N419" s="6" t="s">
        <v>28</v>
      </c>
    </row>
    <row r="420" ht="33" spans="1:14">
      <c r="A420" s="8" t="s">
        <v>1399</v>
      </c>
      <c r="B420" s="9">
        <v>56</v>
      </c>
      <c r="C420" s="9">
        <v>82</v>
      </c>
      <c r="D420" s="9" t="s">
        <v>1400</v>
      </c>
      <c r="E420" s="9">
        <v>1</v>
      </c>
      <c r="F420" s="9" t="s">
        <v>1401</v>
      </c>
      <c r="G420" s="10" t="s">
        <v>341</v>
      </c>
      <c r="H420" s="8" t="s">
        <v>26</v>
      </c>
      <c r="I420" s="12">
        <v>25000</v>
      </c>
      <c r="J420" s="14" t="s">
        <v>39</v>
      </c>
      <c r="K420" s="9" t="s">
        <v>266</v>
      </c>
      <c r="L420" s="9" t="s">
        <v>1402</v>
      </c>
      <c r="M420" s="5" t="str">
        <f>_xlfn.XLOOKUP(N420,enums!$C:$C,enums!$B:$B,"")</f>
        <v>现代拉力赛车</v>
      </c>
      <c r="N420" s="6" t="s">
        <v>1403</v>
      </c>
    </row>
    <row r="421" ht="33" spans="1:14">
      <c r="A421" s="8" t="s">
        <v>1404</v>
      </c>
      <c r="B421" s="9">
        <v>56</v>
      </c>
      <c r="C421" s="9">
        <v>82</v>
      </c>
      <c r="D421" s="9" t="s">
        <v>1400</v>
      </c>
      <c r="E421" s="9">
        <v>2</v>
      </c>
      <c r="F421" s="9" t="s">
        <v>1405</v>
      </c>
      <c r="G421" s="10" t="s">
        <v>239</v>
      </c>
      <c r="H421" s="8" t="s">
        <v>18</v>
      </c>
      <c r="I421" s="12">
        <v>250000</v>
      </c>
      <c r="J421" s="15" t="s">
        <v>46</v>
      </c>
      <c r="K421" s="9" t="s">
        <v>266</v>
      </c>
      <c r="L421" s="9" t="s">
        <v>1406</v>
      </c>
      <c r="M421" s="5" t="str">
        <f>_xlfn.XLOOKUP(N421,enums!$C:$C,enums!$B:$B,"")</f>
        <v>现代拉力赛车</v>
      </c>
      <c r="N421" s="6" t="s">
        <v>1403</v>
      </c>
    </row>
    <row r="422" ht="49.5" spans="1:14">
      <c r="A422" s="8" t="s">
        <v>1407</v>
      </c>
      <c r="B422" s="9">
        <v>56</v>
      </c>
      <c r="C422" s="9">
        <v>82</v>
      </c>
      <c r="D422" s="9" t="s">
        <v>1400</v>
      </c>
      <c r="E422" s="9">
        <v>3</v>
      </c>
      <c r="F422" s="9" t="s">
        <v>1408</v>
      </c>
      <c r="G422" s="10" t="s">
        <v>348</v>
      </c>
      <c r="H422" s="8" t="s">
        <v>1409</v>
      </c>
      <c r="I422" s="12">
        <v>90000</v>
      </c>
      <c r="J422" s="9" t="s">
        <v>804</v>
      </c>
      <c r="K422" s="9" t="s">
        <v>266</v>
      </c>
      <c r="L422" s="9" t="s">
        <v>1410</v>
      </c>
      <c r="M422" s="5" t="str">
        <f>_xlfn.XLOOKUP(N422,enums!$C:$C,enums!$B:$B,"")</f>
        <v>极限赛道玩具</v>
      </c>
      <c r="N422" s="6" t="s">
        <v>127</v>
      </c>
    </row>
    <row r="423" ht="33" spans="1:14">
      <c r="A423" s="8" t="s">
        <v>1411</v>
      </c>
      <c r="B423" s="9">
        <v>56</v>
      </c>
      <c r="C423" s="9">
        <v>82</v>
      </c>
      <c r="D423" s="9" t="s">
        <v>1400</v>
      </c>
      <c r="E423" s="9">
        <v>4</v>
      </c>
      <c r="F423" s="9" t="s">
        <v>1412</v>
      </c>
      <c r="G423" s="10" t="s">
        <v>951</v>
      </c>
      <c r="H423" s="8" t="s">
        <v>303</v>
      </c>
      <c r="I423" s="12">
        <v>100000</v>
      </c>
      <c r="J423" s="16" t="s">
        <v>91</v>
      </c>
      <c r="K423" s="9" t="s">
        <v>266</v>
      </c>
      <c r="L423" s="9" t="s">
        <v>291</v>
      </c>
      <c r="M423" s="5" t="str">
        <f>_xlfn.XLOOKUP(N423,enums!$C:$C,enums!$B:$B,"")</f>
        <v>现代拉力赛车</v>
      </c>
      <c r="N423" s="17" t="s">
        <v>1403</v>
      </c>
    </row>
    <row r="424" ht="33" spans="1:14">
      <c r="A424" s="8" t="s">
        <v>1413</v>
      </c>
      <c r="B424" s="9">
        <v>56</v>
      </c>
      <c r="C424" s="9">
        <v>82</v>
      </c>
      <c r="D424" s="9" t="s">
        <v>1400</v>
      </c>
      <c r="E424" s="9">
        <v>5</v>
      </c>
      <c r="F424" s="9" t="s">
        <v>1414</v>
      </c>
      <c r="G424" s="10" t="s">
        <v>951</v>
      </c>
      <c r="H424" s="8" t="s">
        <v>26</v>
      </c>
      <c r="I424" s="12">
        <v>30000</v>
      </c>
      <c r="J424" s="14" t="s">
        <v>39</v>
      </c>
      <c r="K424" s="9" t="s">
        <v>266</v>
      </c>
      <c r="L424" s="9" t="s">
        <v>1415</v>
      </c>
      <c r="M424" s="5" t="str">
        <f>_xlfn.XLOOKUP(N424,enums!$C:$C,enums!$B:$B,"")</f>
        <v>现代拉力赛车</v>
      </c>
      <c r="N424" s="6" t="s">
        <v>1403</v>
      </c>
    </row>
    <row r="425" ht="33" spans="1:14">
      <c r="A425" s="8" t="s">
        <v>1416</v>
      </c>
      <c r="B425" s="9">
        <v>56</v>
      </c>
      <c r="C425" s="9">
        <v>82</v>
      </c>
      <c r="D425" s="9" t="s">
        <v>1400</v>
      </c>
      <c r="E425" s="9">
        <v>6</v>
      </c>
      <c r="F425" s="9" t="s">
        <v>1417</v>
      </c>
      <c r="G425" s="10" t="s">
        <v>56</v>
      </c>
      <c r="H425" s="8" t="s">
        <v>1418</v>
      </c>
      <c r="I425" s="12">
        <v>70000</v>
      </c>
      <c r="J425" s="14" t="s">
        <v>39</v>
      </c>
      <c r="K425" s="9" t="s">
        <v>266</v>
      </c>
      <c r="L425" s="9" t="s">
        <v>1419</v>
      </c>
      <c r="M425" s="5" t="str">
        <f>_xlfn.XLOOKUP(N425,enums!$C:$C,enums!$B:$B,"")</f>
        <v>复古拉力赛车</v>
      </c>
      <c r="N425" s="6" t="s">
        <v>256</v>
      </c>
    </row>
    <row r="426" ht="33" spans="1:14">
      <c r="A426" s="8" t="s">
        <v>1420</v>
      </c>
      <c r="B426" s="9">
        <v>56</v>
      </c>
      <c r="C426" s="9">
        <v>82</v>
      </c>
      <c r="D426" s="9" t="s">
        <v>1400</v>
      </c>
      <c r="E426" s="9">
        <v>7</v>
      </c>
      <c r="F426" s="9" t="s">
        <v>1421</v>
      </c>
      <c r="G426" s="10" t="s">
        <v>355</v>
      </c>
      <c r="H426" s="8" t="s">
        <v>38</v>
      </c>
      <c r="I426" s="12">
        <v>20000</v>
      </c>
      <c r="J426" s="13" t="s">
        <v>19</v>
      </c>
      <c r="K426" s="9" t="s">
        <v>266</v>
      </c>
      <c r="L426" s="9" t="s">
        <v>1422</v>
      </c>
      <c r="M426" s="5" t="str">
        <f>_xlfn.XLOOKUP(N426,enums!$C:$C,enums!$B:$B,"")</f>
        <v>复古跑车</v>
      </c>
      <c r="N426" s="6" t="s">
        <v>364</v>
      </c>
    </row>
    <row r="427" ht="33" spans="1:14">
      <c r="A427" s="8" t="s">
        <v>1423</v>
      </c>
      <c r="B427" s="9">
        <v>56</v>
      </c>
      <c r="C427" s="9">
        <v>82</v>
      </c>
      <c r="D427" s="9" t="s">
        <v>1400</v>
      </c>
      <c r="E427" s="9">
        <v>8</v>
      </c>
      <c r="F427" s="9" t="s">
        <v>1424</v>
      </c>
      <c r="G427" s="10" t="s">
        <v>355</v>
      </c>
      <c r="H427" s="8" t="s">
        <v>1425</v>
      </c>
      <c r="I427" s="12">
        <v>50000</v>
      </c>
      <c r="J427" s="9" t="s">
        <v>804</v>
      </c>
      <c r="K427" s="9" t="s">
        <v>266</v>
      </c>
      <c r="L427" s="9" t="s">
        <v>1426</v>
      </c>
      <c r="M427" s="5" t="str">
        <f>_xlfn.XLOOKUP(N427,enums!$C:$C,enums!$B:$B,"")</f>
        <v>皮卡和四轮驱动车</v>
      </c>
      <c r="N427" s="6" t="s">
        <v>430</v>
      </c>
    </row>
    <row r="428" ht="33" spans="1:14">
      <c r="A428" s="8" t="s">
        <v>1427</v>
      </c>
      <c r="B428" s="9">
        <v>56</v>
      </c>
      <c r="C428" s="9">
        <v>82</v>
      </c>
      <c r="D428" s="9" t="s">
        <v>1400</v>
      </c>
      <c r="E428" s="9">
        <v>9</v>
      </c>
      <c r="F428" s="9" t="s">
        <v>1428</v>
      </c>
      <c r="G428" s="10" t="s">
        <v>359</v>
      </c>
      <c r="H428" s="8" t="s">
        <v>1429</v>
      </c>
      <c r="I428" s="12">
        <v>29000</v>
      </c>
      <c r="J428" s="9" t="s">
        <v>376</v>
      </c>
      <c r="K428" s="9" t="s">
        <v>266</v>
      </c>
      <c r="L428" s="9" t="s">
        <v>1430</v>
      </c>
      <c r="M428" s="5" t="str">
        <f>_xlfn.XLOOKUP(N428,enums!$C:$C,enums!$B:$B,"")</f>
        <v>复古拉力赛车</v>
      </c>
      <c r="N428" s="6" t="s">
        <v>256</v>
      </c>
    </row>
    <row r="429" ht="33" spans="1:14">
      <c r="A429" s="8" t="s">
        <v>1431</v>
      </c>
      <c r="B429" s="9">
        <v>56</v>
      </c>
      <c r="C429" s="9">
        <v>82</v>
      </c>
      <c r="D429" s="9" t="s">
        <v>1400</v>
      </c>
      <c r="E429" s="9">
        <v>10</v>
      </c>
      <c r="F429" s="9" t="s">
        <v>1432</v>
      </c>
      <c r="G429" s="10" t="s">
        <v>359</v>
      </c>
      <c r="H429" s="8" t="s">
        <v>38</v>
      </c>
      <c r="I429" s="12">
        <v>35000</v>
      </c>
      <c r="J429" s="13" t="s">
        <v>19</v>
      </c>
      <c r="K429" s="9" t="s">
        <v>266</v>
      </c>
      <c r="L429" s="9" t="s">
        <v>1433</v>
      </c>
      <c r="M429" s="5" t="str">
        <f>_xlfn.XLOOKUP(N429,enums!$C:$C,enums!$B:$B,"")</f>
        <v>复古跑车</v>
      </c>
      <c r="N429" s="6" t="s">
        <v>364</v>
      </c>
    </row>
    <row r="430" ht="33" spans="1:14">
      <c r="A430" s="8" t="s">
        <v>1434</v>
      </c>
      <c r="B430" s="9">
        <v>56</v>
      </c>
      <c r="C430" s="9">
        <v>82</v>
      </c>
      <c r="D430" s="9" t="s">
        <v>1400</v>
      </c>
      <c r="E430" s="9">
        <v>11</v>
      </c>
      <c r="F430" s="9" t="s">
        <v>1435</v>
      </c>
      <c r="G430" s="10" t="s">
        <v>359</v>
      </c>
      <c r="H430" s="8" t="s">
        <v>26</v>
      </c>
      <c r="I430" s="12">
        <v>25000</v>
      </c>
      <c r="J430" s="14" t="s">
        <v>39</v>
      </c>
      <c r="K430" s="9" t="s">
        <v>266</v>
      </c>
      <c r="L430" s="9" t="s">
        <v>1436</v>
      </c>
      <c r="M430" s="5" t="str">
        <f>_xlfn.XLOOKUP(N430,enums!$C:$C,enums!$B:$B,"")</f>
        <v>皮卡和四轮驱动车</v>
      </c>
      <c r="N430" s="6" t="s">
        <v>430</v>
      </c>
    </row>
    <row r="431" ht="33" spans="1:14">
      <c r="A431" s="8" t="s">
        <v>1437</v>
      </c>
      <c r="B431" s="9">
        <v>56</v>
      </c>
      <c r="C431" s="9">
        <v>82</v>
      </c>
      <c r="D431" s="9" t="s">
        <v>1400</v>
      </c>
      <c r="E431" s="9">
        <v>12</v>
      </c>
      <c r="F431" s="9" t="s">
        <v>1438</v>
      </c>
      <c r="G431" s="10" t="s">
        <v>82</v>
      </c>
      <c r="H431" s="8" t="s">
        <v>26</v>
      </c>
      <c r="I431" s="12">
        <v>25000</v>
      </c>
      <c r="J431" s="14" t="s">
        <v>39</v>
      </c>
      <c r="K431" s="9" t="s">
        <v>266</v>
      </c>
      <c r="L431" s="9" t="s">
        <v>797</v>
      </c>
      <c r="M431" s="5" t="str">
        <f>_xlfn.XLOOKUP(N431,enums!$C:$C,enums!$B:$B,"")</f>
        <v>复古拉力赛车</v>
      </c>
      <c r="N431" s="6" t="s">
        <v>256</v>
      </c>
    </row>
    <row r="432" ht="49.5" spans="1:14">
      <c r="A432" s="8" t="s">
        <v>1439</v>
      </c>
      <c r="B432" s="9">
        <v>56</v>
      </c>
      <c r="C432" s="9">
        <v>82</v>
      </c>
      <c r="D432" s="9" t="s">
        <v>1400</v>
      </c>
      <c r="E432" s="9">
        <v>13</v>
      </c>
      <c r="F432" s="9" t="s">
        <v>1440</v>
      </c>
      <c r="G432" s="10" t="s">
        <v>87</v>
      </c>
      <c r="H432" s="8" t="s">
        <v>952</v>
      </c>
      <c r="I432" s="12">
        <v>100000</v>
      </c>
      <c r="J432" s="15" t="s">
        <v>46</v>
      </c>
      <c r="K432" s="9" t="s">
        <v>266</v>
      </c>
      <c r="L432" s="9" t="s">
        <v>1441</v>
      </c>
      <c r="M432" s="5" t="str">
        <f>_xlfn.XLOOKUP(N432,enums!$C:$C,enums!$B:$B,"")</f>
        <v>赛道玩具</v>
      </c>
      <c r="N432" s="6" t="s">
        <v>273</v>
      </c>
    </row>
    <row r="433" ht="66" spans="1:14">
      <c r="A433" s="8" t="s">
        <v>1442</v>
      </c>
      <c r="B433" s="9">
        <v>57</v>
      </c>
      <c r="C433" s="9">
        <v>80</v>
      </c>
      <c r="D433" s="9" t="s">
        <v>1443</v>
      </c>
      <c r="E433" s="9">
        <v>1</v>
      </c>
      <c r="F433" s="9" t="s">
        <v>1444</v>
      </c>
      <c r="G433" s="10" t="s">
        <v>285</v>
      </c>
      <c r="H433" s="8" t="s">
        <v>1445</v>
      </c>
      <c r="I433" s="12">
        <v>220000</v>
      </c>
      <c r="J433" s="15" t="s">
        <v>46</v>
      </c>
      <c r="K433" s="9" t="s">
        <v>266</v>
      </c>
      <c r="L433" s="9" t="s">
        <v>1446</v>
      </c>
      <c r="M433" s="5" t="str">
        <f>_xlfn.XLOOKUP(N433,enums!$C:$C,enums!$B:$B,"")</f>
        <v>赛道玩具</v>
      </c>
      <c r="N433" s="6" t="s">
        <v>273</v>
      </c>
    </row>
    <row r="434" ht="33" spans="1:14">
      <c r="A434" s="8" t="s">
        <v>1447</v>
      </c>
      <c r="B434" s="9">
        <v>57</v>
      </c>
      <c r="C434" s="9">
        <v>80</v>
      </c>
      <c r="D434" s="9" t="s">
        <v>1443</v>
      </c>
      <c r="E434" s="9">
        <v>2</v>
      </c>
      <c r="F434" s="9" t="s">
        <v>1448</v>
      </c>
      <c r="G434" s="10" t="s">
        <v>285</v>
      </c>
      <c r="H434" s="8" t="s">
        <v>26</v>
      </c>
      <c r="I434" s="12">
        <v>60000</v>
      </c>
      <c r="J434" s="15" t="s">
        <v>46</v>
      </c>
      <c r="K434" s="9" t="s">
        <v>266</v>
      </c>
      <c r="L434" s="9" t="s">
        <v>330</v>
      </c>
      <c r="M434" s="5" t="str">
        <f>_xlfn.XLOOKUP(N434,enums!$C:$C,enums!$B:$B,"")</f>
        <v>现代跑车</v>
      </c>
      <c r="N434" s="6" t="s">
        <v>74</v>
      </c>
    </row>
    <row r="435" ht="33" spans="1:14">
      <c r="A435" s="8" t="s">
        <v>1449</v>
      </c>
      <c r="B435" s="9">
        <v>57</v>
      </c>
      <c r="C435" s="9">
        <v>80</v>
      </c>
      <c r="D435" s="9" t="s">
        <v>1443</v>
      </c>
      <c r="E435" s="9">
        <v>3</v>
      </c>
      <c r="F435" s="9" t="s">
        <v>1450</v>
      </c>
      <c r="G435" s="10" t="s">
        <v>191</v>
      </c>
      <c r="H435" s="8" t="s">
        <v>26</v>
      </c>
      <c r="I435" s="12">
        <v>270000</v>
      </c>
      <c r="J435" s="15" t="s">
        <v>46</v>
      </c>
      <c r="K435" s="9" t="s">
        <v>266</v>
      </c>
      <c r="L435" s="9" t="s">
        <v>156</v>
      </c>
      <c r="M435" s="5" t="str">
        <f>_xlfn.XLOOKUP(N435,enums!$C:$C,enums!$B:$B,"")</f>
        <v>赛道玩具</v>
      </c>
      <c r="N435" s="6" t="s">
        <v>273</v>
      </c>
    </row>
    <row r="436" ht="33" spans="1:14">
      <c r="A436" s="8" t="s">
        <v>1451</v>
      </c>
      <c r="B436" s="9">
        <v>57</v>
      </c>
      <c r="C436" s="9">
        <v>80</v>
      </c>
      <c r="D436" s="9" t="s">
        <v>1443</v>
      </c>
      <c r="E436" s="9">
        <v>4</v>
      </c>
      <c r="F436" s="9" t="s">
        <v>1452</v>
      </c>
      <c r="G436" s="10" t="s">
        <v>123</v>
      </c>
      <c r="H436" s="8" t="s">
        <v>38</v>
      </c>
      <c r="I436" s="12">
        <v>46000</v>
      </c>
      <c r="J436" s="14" t="s">
        <v>39</v>
      </c>
      <c r="K436" s="9" t="s">
        <v>266</v>
      </c>
      <c r="L436" s="9" t="s">
        <v>1453</v>
      </c>
      <c r="M436" s="5" t="str">
        <f>_xlfn.XLOOKUP(N436,enums!$C:$C,enums!$B:$B,"")</f>
        <v>现代跑车</v>
      </c>
      <c r="N436" s="6" t="s">
        <v>74</v>
      </c>
    </row>
    <row r="437" ht="33" spans="1:14">
      <c r="A437" s="8" t="s">
        <v>1454</v>
      </c>
      <c r="B437" s="9">
        <v>57</v>
      </c>
      <c r="C437" s="9">
        <v>80</v>
      </c>
      <c r="D437" s="9" t="s">
        <v>1443</v>
      </c>
      <c r="E437" s="9">
        <v>5</v>
      </c>
      <c r="F437" s="9" t="s">
        <v>1455</v>
      </c>
      <c r="G437" s="10" t="s">
        <v>67</v>
      </c>
      <c r="H437" s="8" t="s">
        <v>26</v>
      </c>
      <c r="I437" s="12">
        <v>115000</v>
      </c>
      <c r="J437" s="14" t="s">
        <v>39</v>
      </c>
      <c r="K437" s="9" t="s">
        <v>266</v>
      </c>
      <c r="L437" s="9" t="s">
        <v>1210</v>
      </c>
      <c r="M437" s="5" t="str">
        <f>_xlfn.XLOOKUP(N437,enums!$C:$C,enums!$B:$B,"")</f>
        <v>现代超级跑车</v>
      </c>
      <c r="N437" s="6" t="s">
        <v>48</v>
      </c>
    </row>
    <row r="438" ht="33" spans="1:14">
      <c r="A438" s="8" t="s">
        <v>1456</v>
      </c>
      <c r="B438" s="9">
        <v>57</v>
      </c>
      <c r="C438" s="9">
        <v>80</v>
      </c>
      <c r="D438" s="9" t="s">
        <v>1443</v>
      </c>
      <c r="E438" s="9">
        <v>6</v>
      </c>
      <c r="F438" s="9" t="s">
        <v>1457</v>
      </c>
      <c r="G438" s="10" t="s">
        <v>329</v>
      </c>
      <c r="H438" s="8" t="s">
        <v>124</v>
      </c>
      <c r="I438" s="12">
        <v>750000</v>
      </c>
      <c r="J438" s="18" t="s">
        <v>290</v>
      </c>
      <c r="K438" s="9" t="s">
        <v>266</v>
      </c>
      <c r="L438" s="9" t="s">
        <v>807</v>
      </c>
      <c r="M438" s="5" t="str">
        <f>_xlfn.XLOOKUP(N438,enums!$C:$C,enums!$B:$B,"")</f>
        <v>极限赛道玩具</v>
      </c>
      <c r="N438" s="6" t="s">
        <v>127</v>
      </c>
    </row>
    <row r="439" ht="33" spans="1:14">
      <c r="A439" s="8" t="s">
        <v>1458</v>
      </c>
      <c r="B439" s="9">
        <v>57</v>
      </c>
      <c r="C439" s="9">
        <v>80</v>
      </c>
      <c r="D439" s="9" t="s">
        <v>1443</v>
      </c>
      <c r="E439" s="9">
        <v>7</v>
      </c>
      <c r="F439" s="9" t="s">
        <v>1459</v>
      </c>
      <c r="G439" s="10" t="s">
        <v>329</v>
      </c>
      <c r="H439" s="8" t="s">
        <v>38</v>
      </c>
      <c r="I439" s="12">
        <v>80000</v>
      </c>
      <c r="J439" s="14" t="s">
        <v>39</v>
      </c>
      <c r="K439" s="9" t="s">
        <v>266</v>
      </c>
      <c r="L439" s="9" t="s">
        <v>1460</v>
      </c>
      <c r="M439" s="5" t="str">
        <f>_xlfn.XLOOKUP(N439,enums!$C:$C,enums!$B:$B,"")</f>
        <v>现代超级跑车</v>
      </c>
      <c r="N439" s="6" t="s">
        <v>48</v>
      </c>
    </row>
    <row r="440" ht="33" spans="1:14">
      <c r="A440" s="8" t="s">
        <v>1461</v>
      </c>
      <c r="B440" s="9">
        <v>57</v>
      </c>
      <c r="C440" s="9">
        <v>80</v>
      </c>
      <c r="D440" s="9" t="s">
        <v>1443</v>
      </c>
      <c r="E440" s="9">
        <v>8</v>
      </c>
      <c r="F440" s="9" t="s">
        <v>1462</v>
      </c>
      <c r="G440" s="10" t="s">
        <v>229</v>
      </c>
      <c r="H440" s="8" t="s">
        <v>18</v>
      </c>
      <c r="I440" s="12">
        <v>250000</v>
      </c>
      <c r="J440" s="13" t="s">
        <v>19</v>
      </c>
      <c r="K440" s="9" t="s">
        <v>266</v>
      </c>
      <c r="L440" s="9" t="s">
        <v>411</v>
      </c>
      <c r="M440" s="5" t="str">
        <f>_xlfn.XLOOKUP(N440,enums!$C:$C,enums!$B:$B,"")</f>
        <v>现代跑车</v>
      </c>
      <c r="N440" s="6" t="s">
        <v>74</v>
      </c>
    </row>
    <row r="441" ht="33" spans="1:14">
      <c r="A441" s="8" t="s">
        <v>1463</v>
      </c>
      <c r="B441" s="9">
        <v>57</v>
      </c>
      <c r="C441" s="9">
        <v>80</v>
      </c>
      <c r="D441" s="9" t="s">
        <v>1443</v>
      </c>
      <c r="E441" s="9">
        <v>9</v>
      </c>
      <c r="F441" s="9" t="s">
        <v>1464</v>
      </c>
      <c r="G441" s="10" t="s">
        <v>242</v>
      </c>
      <c r="H441" s="8" t="s">
        <v>38</v>
      </c>
      <c r="I441" s="12">
        <v>18000</v>
      </c>
      <c r="J441" s="13" t="s">
        <v>19</v>
      </c>
      <c r="K441" s="9" t="s">
        <v>266</v>
      </c>
      <c r="L441" s="9" t="s">
        <v>1402</v>
      </c>
      <c r="M441" s="5" t="str">
        <f>_xlfn.XLOOKUP(N441,enums!$C:$C,enums!$B:$B,"")</f>
        <v>复古跑车</v>
      </c>
      <c r="N441" s="6" t="s">
        <v>364</v>
      </c>
    </row>
    <row r="442" ht="33" spans="1:14">
      <c r="A442" s="8" t="s">
        <v>1465</v>
      </c>
      <c r="B442" s="9">
        <v>57</v>
      </c>
      <c r="C442" s="9">
        <v>80</v>
      </c>
      <c r="D442" s="9" t="s">
        <v>1443</v>
      </c>
      <c r="E442" s="9">
        <v>10</v>
      </c>
      <c r="F442" s="9" t="s">
        <v>1466</v>
      </c>
      <c r="G442" s="10" t="s">
        <v>51</v>
      </c>
      <c r="H442" s="8" t="s">
        <v>26</v>
      </c>
      <c r="I442" s="12">
        <v>44000</v>
      </c>
      <c r="J442" s="13" t="s">
        <v>19</v>
      </c>
      <c r="K442" s="9" t="s">
        <v>266</v>
      </c>
      <c r="L442" s="9" t="s">
        <v>773</v>
      </c>
      <c r="M442" s="5" t="str">
        <f>_xlfn.XLOOKUP(N442,enums!$C:$C,enums!$B:$B,"")</f>
        <v>复古跑车</v>
      </c>
      <c r="N442" s="6" t="s">
        <v>364</v>
      </c>
    </row>
    <row r="443" ht="33" spans="1:14">
      <c r="A443" s="8" t="s">
        <v>1467</v>
      </c>
      <c r="B443" s="9">
        <v>57</v>
      </c>
      <c r="C443" s="9">
        <v>80</v>
      </c>
      <c r="D443" s="9" t="s">
        <v>1443</v>
      </c>
      <c r="E443" s="9">
        <v>11</v>
      </c>
      <c r="F443" s="9" t="s">
        <v>1468</v>
      </c>
      <c r="G443" s="10" t="s">
        <v>787</v>
      </c>
      <c r="H443" s="8" t="s">
        <v>952</v>
      </c>
      <c r="I443" s="12">
        <v>400000</v>
      </c>
      <c r="J443" s="15" t="s">
        <v>46</v>
      </c>
      <c r="K443" s="9" t="s">
        <v>266</v>
      </c>
      <c r="L443" s="9" t="s">
        <v>1469</v>
      </c>
      <c r="M443" s="5" t="str">
        <f>_xlfn.XLOOKUP(N443,enums!$C:$C,enums!$B:$B,"")</f>
        <v>极限赛道玩具</v>
      </c>
      <c r="N443" s="6" t="s">
        <v>127</v>
      </c>
    </row>
    <row r="444" ht="33" spans="1:14">
      <c r="A444" s="8" t="s">
        <v>1470</v>
      </c>
      <c r="B444" s="9">
        <v>57</v>
      </c>
      <c r="C444" s="9">
        <v>80</v>
      </c>
      <c r="D444" s="9" t="s">
        <v>1443</v>
      </c>
      <c r="E444" s="9">
        <v>12</v>
      </c>
      <c r="F444" s="9" t="s">
        <v>1471</v>
      </c>
      <c r="G444" s="10" t="s">
        <v>787</v>
      </c>
      <c r="H444" s="8" t="s">
        <v>26</v>
      </c>
      <c r="I444" s="12">
        <v>200000</v>
      </c>
      <c r="J444" s="14" t="s">
        <v>39</v>
      </c>
      <c r="K444" s="9" t="s">
        <v>266</v>
      </c>
      <c r="L444" s="9" t="s">
        <v>1472</v>
      </c>
      <c r="M444" s="5" t="str">
        <f>_xlfn.XLOOKUP(N444,enums!$C:$C,enums!$B:$B,"")</f>
        <v>复古跑车</v>
      </c>
      <c r="N444" s="17" t="s">
        <v>364</v>
      </c>
    </row>
    <row r="445" ht="33" spans="1:14">
      <c r="A445" s="8" t="s">
        <v>1473</v>
      </c>
      <c r="B445" s="9">
        <v>57</v>
      </c>
      <c r="C445" s="9">
        <v>80</v>
      </c>
      <c r="D445" s="9" t="s">
        <v>1443</v>
      </c>
      <c r="E445" s="9">
        <v>13</v>
      </c>
      <c r="F445" s="9" t="s">
        <v>1474</v>
      </c>
      <c r="G445" s="10" t="s">
        <v>1358</v>
      </c>
      <c r="H445" s="8" t="s">
        <v>1475</v>
      </c>
      <c r="I445" s="12">
        <v>600000</v>
      </c>
      <c r="J445" s="9" t="s">
        <v>804</v>
      </c>
      <c r="K445" s="9" t="s">
        <v>266</v>
      </c>
      <c r="L445" s="9" t="s">
        <v>1302</v>
      </c>
      <c r="M445" s="5" t="str">
        <f>_xlfn.XLOOKUP(N445,enums!$C:$C,enums!$B:$B,"")</f>
        <v>复古赛车</v>
      </c>
      <c r="N445" s="6" t="s">
        <v>88</v>
      </c>
    </row>
    <row r="446" ht="33" spans="1:14">
      <c r="A446" s="8" t="s">
        <v>1476</v>
      </c>
      <c r="B446" s="9">
        <v>57</v>
      </c>
      <c r="C446" s="9">
        <v>80</v>
      </c>
      <c r="D446" s="9" t="s">
        <v>1443</v>
      </c>
      <c r="E446" s="9">
        <v>14</v>
      </c>
      <c r="F446" s="9" t="s">
        <v>1477</v>
      </c>
      <c r="G446" s="10" t="s">
        <v>1358</v>
      </c>
      <c r="H446" s="8" t="s">
        <v>1478</v>
      </c>
      <c r="I446" s="12">
        <v>1000000</v>
      </c>
      <c r="J446" s="9" t="s">
        <v>804</v>
      </c>
      <c r="K446" s="9" t="s">
        <v>266</v>
      </c>
      <c r="L446" s="9" t="s">
        <v>684</v>
      </c>
      <c r="M446" s="5" t="str">
        <f>_xlfn.XLOOKUP(N446,enums!$C:$C,enums!$B:$B,"")</f>
        <v>复古超级轿车</v>
      </c>
      <c r="N446" s="6" t="s">
        <v>378</v>
      </c>
    </row>
    <row r="447" ht="33" spans="1:14">
      <c r="A447" s="8" t="s">
        <v>1479</v>
      </c>
      <c r="B447" s="9">
        <v>57</v>
      </c>
      <c r="C447" s="9">
        <v>80</v>
      </c>
      <c r="D447" s="9" t="s">
        <v>1443</v>
      </c>
      <c r="E447" s="9">
        <v>15</v>
      </c>
      <c r="F447" s="9" t="s">
        <v>1480</v>
      </c>
      <c r="G447" s="10" t="s">
        <v>1358</v>
      </c>
      <c r="H447" s="8" t="s">
        <v>178</v>
      </c>
      <c r="I447" s="12" t="s">
        <v>63</v>
      </c>
      <c r="J447" s="16" t="s">
        <v>91</v>
      </c>
      <c r="K447" s="9" t="s">
        <v>266</v>
      </c>
      <c r="L447" s="9" t="s">
        <v>565</v>
      </c>
      <c r="M447" s="5" t="str">
        <f>_xlfn.XLOOKUP(N447,enums!$C:$C,enums!$B:$B,"")</f>
        <v>复古跑车</v>
      </c>
      <c r="N447" s="6" t="s">
        <v>364</v>
      </c>
    </row>
    <row r="448" ht="33" spans="1:14">
      <c r="A448" s="8" t="s">
        <v>1481</v>
      </c>
      <c r="B448" s="9">
        <v>57</v>
      </c>
      <c r="C448" s="9">
        <v>80</v>
      </c>
      <c r="D448" s="9" t="s">
        <v>1443</v>
      </c>
      <c r="E448" s="9">
        <v>16</v>
      </c>
      <c r="F448" s="9" t="s">
        <v>1482</v>
      </c>
      <c r="G448" s="10" t="s">
        <v>1358</v>
      </c>
      <c r="H448" s="8" t="s">
        <v>26</v>
      </c>
      <c r="I448" s="12">
        <v>22000</v>
      </c>
      <c r="J448" s="13" t="s">
        <v>19</v>
      </c>
      <c r="K448" s="9" t="s">
        <v>266</v>
      </c>
      <c r="L448" s="9" t="s">
        <v>694</v>
      </c>
      <c r="M448" s="5" t="str">
        <f>_xlfn.XLOOKUP(N448,enums!$C:$C,enums!$B:$B,"")</f>
        <v>复古跑车</v>
      </c>
      <c r="N448" s="6" t="s">
        <v>364</v>
      </c>
    </row>
    <row r="449" ht="33" spans="1:14">
      <c r="A449" s="8" t="s">
        <v>1483</v>
      </c>
      <c r="B449" s="9">
        <v>57</v>
      </c>
      <c r="C449" s="9">
        <v>80</v>
      </c>
      <c r="D449" s="9" t="s">
        <v>1443</v>
      </c>
      <c r="E449" s="9">
        <v>17</v>
      </c>
      <c r="F449" s="9" t="s">
        <v>1484</v>
      </c>
      <c r="G449" s="10" t="s">
        <v>355</v>
      </c>
      <c r="H449" s="8" t="s">
        <v>18</v>
      </c>
      <c r="I449" s="12">
        <v>250000</v>
      </c>
      <c r="J449" s="14" t="s">
        <v>39</v>
      </c>
      <c r="K449" s="9" t="s">
        <v>266</v>
      </c>
      <c r="L449" s="9" t="s">
        <v>1415</v>
      </c>
      <c r="M449" s="5" t="str">
        <f>_xlfn.XLOOKUP(N449,enums!$C:$C,enums!$B:$B,"")</f>
        <v>复古跑车</v>
      </c>
      <c r="N449" s="6" t="s">
        <v>364</v>
      </c>
    </row>
    <row r="450" ht="33" spans="1:14">
      <c r="A450" s="8" t="s">
        <v>1485</v>
      </c>
      <c r="B450" s="9">
        <v>57</v>
      </c>
      <c r="C450" s="9">
        <v>80</v>
      </c>
      <c r="D450" s="9" t="s">
        <v>1443</v>
      </c>
      <c r="E450" s="9">
        <v>18</v>
      </c>
      <c r="F450" s="9" t="s">
        <v>1486</v>
      </c>
      <c r="G450" s="10" t="s">
        <v>359</v>
      </c>
      <c r="H450" s="8" t="s">
        <v>26</v>
      </c>
      <c r="I450" s="12">
        <v>1100000</v>
      </c>
      <c r="J450" s="16" t="s">
        <v>91</v>
      </c>
      <c r="K450" s="9" t="s">
        <v>266</v>
      </c>
      <c r="L450" s="9" t="s">
        <v>246</v>
      </c>
      <c r="M450" s="5" t="str">
        <f>_xlfn.XLOOKUP(N450,enums!$C:$C,enums!$B:$B,"")</f>
        <v>复古跑车</v>
      </c>
      <c r="N450" s="6" t="s">
        <v>364</v>
      </c>
    </row>
    <row r="451" ht="33" spans="1:14">
      <c r="A451" s="8" t="s">
        <v>1487</v>
      </c>
      <c r="B451" s="9">
        <v>57</v>
      </c>
      <c r="C451" s="9">
        <v>80</v>
      </c>
      <c r="D451" s="9" t="s">
        <v>1443</v>
      </c>
      <c r="E451" s="9">
        <v>19</v>
      </c>
      <c r="F451" s="9" t="s">
        <v>1488</v>
      </c>
      <c r="G451" s="10" t="s">
        <v>355</v>
      </c>
      <c r="H451" s="8" t="s">
        <v>38</v>
      </c>
      <c r="I451" s="12">
        <v>20000</v>
      </c>
      <c r="J451" s="15" t="s">
        <v>46</v>
      </c>
      <c r="K451" s="9" t="s">
        <v>266</v>
      </c>
      <c r="L451" s="9" t="s">
        <v>83</v>
      </c>
      <c r="M451" s="5" t="str">
        <f>_xlfn.XLOOKUP(N451,enums!$C:$C,enums!$B:$B,"")</f>
        <v>复古超级跑车</v>
      </c>
      <c r="N451" s="6" t="s">
        <v>84</v>
      </c>
    </row>
    <row r="452" ht="33" spans="1:14">
      <c r="A452" s="8" t="s">
        <v>1489</v>
      </c>
      <c r="B452" s="9">
        <v>57</v>
      </c>
      <c r="C452" s="9">
        <v>80</v>
      </c>
      <c r="D452" s="9" t="s">
        <v>1443</v>
      </c>
      <c r="E452" s="9">
        <v>20</v>
      </c>
      <c r="F452" s="9" t="s">
        <v>1490</v>
      </c>
      <c r="G452" s="10" t="s">
        <v>359</v>
      </c>
      <c r="H452" s="8" t="s">
        <v>26</v>
      </c>
      <c r="I452" s="12">
        <v>15000</v>
      </c>
      <c r="J452" s="14" t="s">
        <v>39</v>
      </c>
      <c r="K452" s="9" t="s">
        <v>266</v>
      </c>
      <c r="L452" s="9" t="s">
        <v>1491</v>
      </c>
      <c r="M452" s="5" t="str">
        <f>_xlfn.XLOOKUP(N452,enums!$C:$C,enums!$B:$B,"")</f>
        <v>复古超级跑车</v>
      </c>
      <c r="N452" s="6" t="s">
        <v>84</v>
      </c>
    </row>
    <row r="453" ht="33" spans="1:14">
      <c r="A453" s="8" t="s">
        <v>1492</v>
      </c>
      <c r="B453" s="9">
        <v>57</v>
      </c>
      <c r="C453" s="9">
        <v>80</v>
      </c>
      <c r="D453" s="9" t="s">
        <v>1443</v>
      </c>
      <c r="E453" s="9">
        <v>21</v>
      </c>
      <c r="F453" s="9" t="s">
        <v>1493</v>
      </c>
      <c r="G453" s="10" t="s">
        <v>667</v>
      </c>
      <c r="H453" s="8" t="s">
        <v>26</v>
      </c>
      <c r="I453" s="12">
        <v>20000</v>
      </c>
      <c r="J453" s="13" t="s">
        <v>19</v>
      </c>
      <c r="K453" s="9" t="s">
        <v>266</v>
      </c>
      <c r="L453" s="9" t="s">
        <v>1238</v>
      </c>
      <c r="M453" s="5" t="str">
        <f>_xlfn.XLOOKUP(N453,enums!$C:$C,enums!$B:$B,"")</f>
        <v>复古跑车</v>
      </c>
      <c r="N453" s="6" t="s">
        <v>364</v>
      </c>
    </row>
    <row r="454" ht="33" spans="1:14">
      <c r="A454" s="8" t="s">
        <v>1494</v>
      </c>
      <c r="B454" s="9">
        <v>57</v>
      </c>
      <c r="C454" s="9">
        <v>80</v>
      </c>
      <c r="D454" s="9" t="s">
        <v>1443</v>
      </c>
      <c r="E454" s="9">
        <v>22</v>
      </c>
      <c r="F454" s="9" t="s">
        <v>1495</v>
      </c>
      <c r="G454" s="10" t="s">
        <v>667</v>
      </c>
      <c r="H454" s="8" t="s">
        <v>72</v>
      </c>
      <c r="I454" s="12">
        <v>40000</v>
      </c>
      <c r="J454" s="15" t="s">
        <v>46</v>
      </c>
      <c r="K454" s="9" t="s">
        <v>266</v>
      </c>
      <c r="L454" s="9" t="s">
        <v>474</v>
      </c>
      <c r="M454" s="5" t="str">
        <f>_xlfn.XLOOKUP(N454,enums!$C:$C,enums!$B:$B,"")</f>
        <v>复古跑车</v>
      </c>
      <c r="N454" s="6" t="s">
        <v>364</v>
      </c>
    </row>
    <row r="455" ht="33" spans="1:14">
      <c r="A455" s="8" t="s">
        <v>1496</v>
      </c>
      <c r="B455" s="9">
        <v>57</v>
      </c>
      <c r="C455" s="9">
        <v>80</v>
      </c>
      <c r="D455" s="9" t="s">
        <v>1443</v>
      </c>
      <c r="E455" s="9">
        <v>23</v>
      </c>
      <c r="F455" s="9" t="s">
        <v>1497</v>
      </c>
      <c r="G455" s="10" t="s">
        <v>265</v>
      </c>
      <c r="H455" s="8" t="s">
        <v>952</v>
      </c>
      <c r="I455" s="12">
        <v>570000</v>
      </c>
      <c r="J455" s="15" t="s">
        <v>46</v>
      </c>
      <c r="K455" s="9" t="s">
        <v>266</v>
      </c>
      <c r="L455" s="9" t="s">
        <v>1498</v>
      </c>
      <c r="M455" s="5" t="str">
        <f>_xlfn.XLOOKUP(N455,enums!$C:$C,enums!$B:$B,"")</f>
        <v>极限赛道玩具</v>
      </c>
      <c r="N455" s="6" t="s">
        <v>127</v>
      </c>
    </row>
    <row r="456" ht="33" spans="1:14">
      <c r="A456" s="8" t="s">
        <v>1499</v>
      </c>
      <c r="B456" s="9">
        <v>57</v>
      </c>
      <c r="C456" s="9">
        <v>80</v>
      </c>
      <c r="D456" s="9" t="s">
        <v>1443</v>
      </c>
      <c r="E456" s="9">
        <v>24</v>
      </c>
      <c r="F456" s="9" t="s">
        <v>1500</v>
      </c>
      <c r="G456" s="10" t="s">
        <v>265</v>
      </c>
      <c r="H456" s="8" t="s">
        <v>124</v>
      </c>
      <c r="I456" s="12">
        <v>250000</v>
      </c>
      <c r="J456" s="15" t="s">
        <v>46</v>
      </c>
      <c r="K456" s="9" t="s">
        <v>266</v>
      </c>
      <c r="L456" s="9" t="s">
        <v>1501</v>
      </c>
      <c r="M456" s="5" t="str">
        <f>_xlfn.XLOOKUP(N456,enums!$C:$C,enums!$B:$B,"")</f>
        <v>复古跑车</v>
      </c>
      <c r="N456" s="6" t="s">
        <v>364</v>
      </c>
    </row>
    <row r="457" ht="33" spans="1:14">
      <c r="A457" s="8" t="s">
        <v>1502</v>
      </c>
      <c r="B457" s="9">
        <v>57</v>
      </c>
      <c r="C457" s="9">
        <v>80</v>
      </c>
      <c r="D457" s="9" t="s">
        <v>1443</v>
      </c>
      <c r="E457" s="9">
        <v>25</v>
      </c>
      <c r="F457" s="9" t="s">
        <v>1503</v>
      </c>
      <c r="G457" s="10" t="s">
        <v>82</v>
      </c>
      <c r="H457" s="8" t="s">
        <v>26</v>
      </c>
      <c r="I457" s="12">
        <v>72000</v>
      </c>
      <c r="J457" s="14" t="s">
        <v>39</v>
      </c>
      <c r="K457" s="9" t="s">
        <v>266</v>
      </c>
      <c r="L457" s="9" t="s">
        <v>1504</v>
      </c>
      <c r="M457" s="5" t="str">
        <f>_xlfn.XLOOKUP(N457,enums!$C:$C,enums!$B:$B,"")</f>
        <v>复古跑车</v>
      </c>
      <c r="N457" s="6" t="s">
        <v>364</v>
      </c>
    </row>
    <row r="458" ht="33" spans="1:14">
      <c r="A458" s="8" t="s">
        <v>1505</v>
      </c>
      <c r="B458" s="9">
        <v>57</v>
      </c>
      <c r="C458" s="9">
        <v>80</v>
      </c>
      <c r="D458" s="9" t="s">
        <v>1443</v>
      </c>
      <c r="E458" s="9">
        <v>26</v>
      </c>
      <c r="F458" s="9" t="s">
        <v>1506</v>
      </c>
      <c r="G458" s="10" t="s">
        <v>893</v>
      </c>
      <c r="H458" s="8" t="s">
        <v>1507</v>
      </c>
      <c r="I458" s="12">
        <v>40000</v>
      </c>
      <c r="J458" s="9" t="s">
        <v>376</v>
      </c>
      <c r="K458" s="9" t="s">
        <v>266</v>
      </c>
      <c r="L458" s="9" t="s">
        <v>1508</v>
      </c>
      <c r="M458" s="5" t="str">
        <f>_xlfn.XLOOKUP(N458,enums!$C:$C,enums!$B:$B,"")</f>
        <v>家庭多用</v>
      </c>
      <c r="N458" s="6" t="s">
        <v>268</v>
      </c>
    </row>
    <row r="459" ht="33" spans="1:14">
      <c r="A459" s="8" t="s">
        <v>1509</v>
      </c>
      <c r="B459" s="9">
        <v>57</v>
      </c>
      <c r="C459" s="9">
        <v>80</v>
      </c>
      <c r="D459" s="9" t="s">
        <v>1443</v>
      </c>
      <c r="E459" s="9">
        <v>27</v>
      </c>
      <c r="F459" s="9" t="s">
        <v>1510</v>
      </c>
      <c r="G459" s="10" t="s">
        <v>87</v>
      </c>
      <c r="H459" s="8" t="s">
        <v>178</v>
      </c>
      <c r="I459" s="12" t="s">
        <v>63</v>
      </c>
      <c r="J459" s="16" t="s">
        <v>91</v>
      </c>
      <c r="K459" s="9" t="s">
        <v>266</v>
      </c>
      <c r="L459" s="9" t="s">
        <v>1511</v>
      </c>
      <c r="M459" s="5" t="str">
        <f>_xlfn.XLOOKUP(N459,enums!$C:$C,enums!$B:$B,"")</f>
        <v>复古赛车</v>
      </c>
      <c r="N459" s="17" t="s">
        <v>88</v>
      </c>
    </row>
    <row r="460" ht="33" spans="1:14">
      <c r="A460" s="8" t="s">
        <v>1512</v>
      </c>
      <c r="B460" s="9">
        <v>57</v>
      </c>
      <c r="C460" s="9">
        <v>80</v>
      </c>
      <c r="D460" s="9" t="s">
        <v>1443</v>
      </c>
      <c r="E460" s="9">
        <v>28</v>
      </c>
      <c r="F460" s="9" t="s">
        <v>1513</v>
      </c>
      <c r="G460" s="10" t="s">
        <v>87</v>
      </c>
      <c r="H460" s="8" t="s">
        <v>26</v>
      </c>
      <c r="I460" s="12">
        <v>28000</v>
      </c>
      <c r="J460" s="14" t="s">
        <v>39</v>
      </c>
      <c r="K460" s="9" t="s">
        <v>266</v>
      </c>
      <c r="L460" s="9" t="s">
        <v>1514</v>
      </c>
      <c r="M460" s="5" t="str">
        <f>_xlfn.XLOOKUP(N460,enums!$C:$C,enums!$B:$B,"")</f>
        <v>复古拉力赛车</v>
      </c>
      <c r="N460" s="6" t="s">
        <v>256</v>
      </c>
    </row>
    <row r="461" ht="33" spans="1:14">
      <c r="A461" s="8" t="s">
        <v>1515</v>
      </c>
      <c r="B461" s="9">
        <v>57</v>
      </c>
      <c r="C461" s="9">
        <v>80</v>
      </c>
      <c r="D461" s="9" t="s">
        <v>1443</v>
      </c>
      <c r="E461" s="9">
        <v>29</v>
      </c>
      <c r="F461" s="9" t="s">
        <v>1516</v>
      </c>
      <c r="G461" s="10" t="s">
        <v>674</v>
      </c>
      <c r="H461" s="8" t="s">
        <v>124</v>
      </c>
      <c r="I461" s="12">
        <v>500000</v>
      </c>
      <c r="J461" s="18" t="s">
        <v>290</v>
      </c>
      <c r="K461" s="9" t="s">
        <v>266</v>
      </c>
      <c r="L461" s="9" t="s">
        <v>304</v>
      </c>
      <c r="M461" s="5" t="str">
        <f>_xlfn.XLOOKUP(N461,enums!$C:$C,enums!$B:$B,"")</f>
        <v>赛道玩具</v>
      </c>
      <c r="N461" s="6" t="s">
        <v>273</v>
      </c>
    </row>
    <row r="462" ht="33" spans="1:14">
      <c r="A462" s="8" t="s">
        <v>1517</v>
      </c>
      <c r="B462" s="9">
        <v>57</v>
      </c>
      <c r="C462" s="9">
        <v>80</v>
      </c>
      <c r="D462" s="9" t="s">
        <v>1443</v>
      </c>
      <c r="E462" s="9">
        <v>30</v>
      </c>
      <c r="F462" s="9" t="s">
        <v>1518</v>
      </c>
      <c r="G462" s="10" t="s">
        <v>674</v>
      </c>
      <c r="H462" s="8" t="s">
        <v>897</v>
      </c>
      <c r="I462" s="12">
        <v>40000</v>
      </c>
      <c r="J462" s="13" t="s">
        <v>19</v>
      </c>
      <c r="K462" s="9" t="s">
        <v>266</v>
      </c>
      <c r="L462" s="9" t="s">
        <v>574</v>
      </c>
      <c r="M462" s="5" t="str">
        <f>_xlfn.XLOOKUP(N462,enums!$C:$C,enums!$B:$B,"")</f>
        <v>复古跑车</v>
      </c>
      <c r="N462" s="6" t="s">
        <v>364</v>
      </c>
    </row>
    <row r="463" ht="33" spans="1:14">
      <c r="A463" s="8" t="s">
        <v>1519</v>
      </c>
      <c r="B463" s="9">
        <v>57</v>
      </c>
      <c r="C463" s="9">
        <v>80</v>
      </c>
      <c r="D463" s="9" t="s">
        <v>1443</v>
      </c>
      <c r="E463" s="9">
        <v>31</v>
      </c>
      <c r="F463" s="9" t="s">
        <v>1520</v>
      </c>
      <c r="G463" s="10" t="s">
        <v>674</v>
      </c>
      <c r="H463" s="8" t="s">
        <v>1521</v>
      </c>
      <c r="I463" s="12">
        <v>12000</v>
      </c>
      <c r="J463" s="9" t="s">
        <v>804</v>
      </c>
      <c r="K463" s="9" t="s">
        <v>266</v>
      </c>
      <c r="L463" s="9" t="s">
        <v>1522</v>
      </c>
      <c r="M463" s="5" t="str">
        <f>_xlfn.XLOOKUP(N463,enums!$C:$C,enums!$B:$B,"")</f>
        <v>家庭多用</v>
      </c>
      <c r="N463" s="6" t="s">
        <v>268</v>
      </c>
    </row>
    <row r="464" ht="33" spans="1:14">
      <c r="A464" s="8" t="s">
        <v>1523</v>
      </c>
      <c r="B464" s="9">
        <v>57</v>
      </c>
      <c r="C464" s="9">
        <v>80</v>
      </c>
      <c r="D464" s="9" t="s">
        <v>1443</v>
      </c>
      <c r="E464" s="9">
        <v>32</v>
      </c>
      <c r="F464" s="9" t="s">
        <v>1524</v>
      </c>
      <c r="G464" s="10" t="s">
        <v>674</v>
      </c>
      <c r="H464" s="8" t="s">
        <v>26</v>
      </c>
      <c r="I464" s="12">
        <v>19000</v>
      </c>
      <c r="J464" s="14" t="s">
        <v>39</v>
      </c>
      <c r="K464" s="9" t="s">
        <v>266</v>
      </c>
      <c r="L464" s="9" t="s">
        <v>1525</v>
      </c>
      <c r="M464" s="5" t="str">
        <f>_xlfn.XLOOKUP(N464,enums!$C:$C,enums!$B:$B,"")</f>
        <v>家庭多用</v>
      </c>
      <c r="N464" s="6" t="s">
        <v>268</v>
      </c>
    </row>
    <row r="465" ht="33" spans="1:14">
      <c r="A465" s="8" t="s">
        <v>1526</v>
      </c>
      <c r="B465" s="9">
        <v>57</v>
      </c>
      <c r="C465" s="9">
        <v>80</v>
      </c>
      <c r="D465" s="9" t="s">
        <v>1443</v>
      </c>
      <c r="E465" s="9">
        <v>33</v>
      </c>
      <c r="F465" s="9" t="s">
        <v>1527</v>
      </c>
      <c r="G465" s="10" t="s">
        <v>389</v>
      </c>
      <c r="H465" s="8" t="s">
        <v>72</v>
      </c>
      <c r="I465" s="12">
        <v>41000</v>
      </c>
      <c r="J465" s="15" t="s">
        <v>46</v>
      </c>
      <c r="K465" s="9" t="s">
        <v>266</v>
      </c>
      <c r="L465" s="9" t="s">
        <v>797</v>
      </c>
      <c r="M465" s="5" t="str">
        <f>_xlfn.XLOOKUP(N465,enums!$C:$C,enums!$B:$B,"")</f>
        <v>复古跑车</v>
      </c>
      <c r="N465" s="6" t="s">
        <v>364</v>
      </c>
    </row>
    <row r="466" ht="33" spans="1:14">
      <c r="A466" s="8" t="s">
        <v>1528</v>
      </c>
      <c r="B466" s="9">
        <v>57</v>
      </c>
      <c r="C466" s="9">
        <v>80</v>
      </c>
      <c r="D466" s="9" t="s">
        <v>1443</v>
      </c>
      <c r="E466" s="9">
        <v>34</v>
      </c>
      <c r="F466" s="9" t="s">
        <v>1529</v>
      </c>
      <c r="G466" s="10" t="s">
        <v>389</v>
      </c>
      <c r="H466" s="8" t="s">
        <v>18</v>
      </c>
      <c r="I466" s="12">
        <v>23000</v>
      </c>
      <c r="J466" s="15" t="s">
        <v>46</v>
      </c>
      <c r="K466" s="9" t="s">
        <v>266</v>
      </c>
      <c r="L466" s="9" t="s">
        <v>1530</v>
      </c>
      <c r="M466" s="5" t="str">
        <f>_xlfn.XLOOKUP(N466,enums!$C:$C,enums!$B:$B,"")</f>
        <v>家庭多用</v>
      </c>
      <c r="N466" s="6" t="s">
        <v>268</v>
      </c>
    </row>
    <row r="467" ht="33" spans="1:14">
      <c r="A467" s="8" t="s">
        <v>1531</v>
      </c>
      <c r="B467" s="9">
        <v>57</v>
      </c>
      <c r="C467" s="9">
        <v>80</v>
      </c>
      <c r="D467" s="9" t="s">
        <v>1443</v>
      </c>
      <c r="E467" s="9">
        <v>35</v>
      </c>
      <c r="F467" s="9" t="s">
        <v>1532</v>
      </c>
      <c r="G467" s="10" t="s">
        <v>813</v>
      </c>
      <c r="H467" s="8" t="s">
        <v>1533</v>
      </c>
      <c r="I467" s="12">
        <v>25000</v>
      </c>
      <c r="J467" s="9" t="s">
        <v>376</v>
      </c>
      <c r="K467" s="9" t="s">
        <v>266</v>
      </c>
      <c r="L467" s="9" t="s">
        <v>1534</v>
      </c>
      <c r="M467" s="5" t="str">
        <f>_xlfn.XLOOKUP(N467,enums!$C:$C,enums!$B:$B,"")</f>
        <v>皮卡和四轮驱动车</v>
      </c>
      <c r="N467" s="6" t="s">
        <v>430</v>
      </c>
    </row>
    <row r="468" ht="33" spans="1:14">
      <c r="A468" s="8" t="s">
        <v>1535</v>
      </c>
      <c r="B468" s="9">
        <v>57</v>
      </c>
      <c r="C468" s="9">
        <v>80</v>
      </c>
      <c r="D468" s="9" t="s">
        <v>1443</v>
      </c>
      <c r="E468" s="9">
        <v>36</v>
      </c>
      <c r="F468" s="9" t="s">
        <v>1536</v>
      </c>
      <c r="G468" s="10" t="s">
        <v>254</v>
      </c>
      <c r="H468" s="8" t="s">
        <v>1537</v>
      </c>
      <c r="I468" s="12">
        <v>301000</v>
      </c>
      <c r="J468" s="9" t="s">
        <v>804</v>
      </c>
      <c r="K468" s="9" t="s">
        <v>266</v>
      </c>
      <c r="L468" s="9" t="s">
        <v>1538</v>
      </c>
      <c r="M468" s="5" t="str">
        <f>_xlfn.XLOOKUP(N468,enums!$C:$C,enums!$B:$B,"")</f>
        <v>复古赛车</v>
      </c>
      <c r="N468" s="6" t="s">
        <v>88</v>
      </c>
    </row>
    <row r="469" ht="33" spans="1:14">
      <c r="A469" s="8" t="s">
        <v>1539</v>
      </c>
      <c r="B469" s="9">
        <v>57</v>
      </c>
      <c r="C469" s="9">
        <v>80</v>
      </c>
      <c r="D469" s="9" t="s">
        <v>1443</v>
      </c>
      <c r="E469" s="9">
        <v>37</v>
      </c>
      <c r="F469" s="9" t="s">
        <v>1540</v>
      </c>
      <c r="G469" s="10" t="s">
        <v>381</v>
      </c>
      <c r="H469" s="8" t="s">
        <v>26</v>
      </c>
      <c r="I469" s="12">
        <v>416000</v>
      </c>
      <c r="J469" s="15" t="s">
        <v>46</v>
      </c>
      <c r="K469" s="9" t="s">
        <v>266</v>
      </c>
      <c r="L469" s="9" t="s">
        <v>455</v>
      </c>
      <c r="M469" s="5" t="str">
        <f>_xlfn.XLOOKUP(N469,enums!$C:$C,enums!$B:$B,"")</f>
        <v>经典跑车</v>
      </c>
      <c r="N469" s="6" t="s">
        <v>261</v>
      </c>
    </row>
    <row r="470" ht="33" spans="1:14">
      <c r="A470" s="8" t="s">
        <v>1541</v>
      </c>
      <c r="B470" s="9">
        <v>57</v>
      </c>
      <c r="C470" s="9">
        <v>80</v>
      </c>
      <c r="D470" s="9" t="s">
        <v>1443</v>
      </c>
      <c r="E470" s="9">
        <v>38</v>
      </c>
      <c r="F470" s="9" t="s">
        <v>1542</v>
      </c>
      <c r="G470" s="10" t="s">
        <v>1378</v>
      </c>
      <c r="H470" s="8" t="s">
        <v>1543</v>
      </c>
      <c r="I470" s="12">
        <v>169000</v>
      </c>
      <c r="J470" s="9" t="s">
        <v>804</v>
      </c>
      <c r="K470" s="9" t="s">
        <v>266</v>
      </c>
      <c r="L470" s="9" t="s">
        <v>1544</v>
      </c>
      <c r="M470" s="5" t="str">
        <f>_xlfn.XLOOKUP(N470,enums!$C:$C,enums!$B:$B,"")</f>
        <v>经典跑车</v>
      </c>
      <c r="N470" s="6" t="s">
        <v>261</v>
      </c>
    </row>
    <row r="471" ht="33" spans="1:14">
      <c r="A471" s="8" t="s">
        <v>1545</v>
      </c>
      <c r="B471" s="9">
        <v>57</v>
      </c>
      <c r="C471" s="9">
        <v>80</v>
      </c>
      <c r="D471" s="9" t="s">
        <v>1443</v>
      </c>
      <c r="E471" s="9">
        <v>39</v>
      </c>
      <c r="F471" s="9" t="s">
        <v>1546</v>
      </c>
      <c r="G471" s="10" t="s">
        <v>486</v>
      </c>
      <c r="H471" s="8" t="s">
        <v>26</v>
      </c>
      <c r="I471" s="12">
        <v>250000</v>
      </c>
      <c r="J471" s="15" t="s">
        <v>46</v>
      </c>
      <c r="K471" s="9" t="s">
        <v>266</v>
      </c>
      <c r="L471" s="9" t="s">
        <v>1547</v>
      </c>
      <c r="M471" s="5" t="str">
        <f>_xlfn.XLOOKUP(N471,enums!$C:$C,enums!$B:$B,"")</f>
        <v>经典跑车</v>
      </c>
      <c r="N471" s="6" t="s">
        <v>261</v>
      </c>
    </row>
    <row r="472" spans="1:14">
      <c r="A472" s="8" t="s">
        <v>1548</v>
      </c>
      <c r="B472" s="9">
        <v>58</v>
      </c>
      <c r="C472" s="9">
        <v>27</v>
      </c>
      <c r="D472" s="9" t="s">
        <v>1549</v>
      </c>
      <c r="E472" s="9">
        <v>1</v>
      </c>
      <c r="F472" s="9" t="s">
        <v>1550</v>
      </c>
      <c r="G472" s="10" t="s">
        <v>229</v>
      </c>
      <c r="H472" s="8" t="s">
        <v>26</v>
      </c>
      <c r="I472" s="12">
        <v>322000</v>
      </c>
      <c r="J472" s="15" t="s">
        <v>46</v>
      </c>
      <c r="K472" s="9" t="s">
        <v>132</v>
      </c>
      <c r="L472" s="9" t="s">
        <v>1551</v>
      </c>
      <c r="M472" s="5" t="str">
        <f>_xlfn.XLOOKUP(N472,enums!$C:$C,enums!$B:$B,"")</f>
        <v>现代超级跑车</v>
      </c>
      <c r="N472" s="6" t="s">
        <v>48</v>
      </c>
    </row>
    <row r="473" ht="49.5" spans="1:14">
      <c r="A473" s="8" t="s">
        <v>1552</v>
      </c>
      <c r="B473" s="9">
        <v>59</v>
      </c>
      <c r="C473" s="9">
        <v>76</v>
      </c>
      <c r="D473" s="9" t="s">
        <v>1553</v>
      </c>
      <c r="E473" s="9">
        <v>1</v>
      </c>
      <c r="F473" s="9" t="s">
        <v>1554</v>
      </c>
      <c r="G473" s="10" t="s">
        <v>680</v>
      </c>
      <c r="H473" s="8" t="s">
        <v>1555</v>
      </c>
      <c r="I473" s="12">
        <v>152000</v>
      </c>
      <c r="J473" s="14" t="s">
        <v>39</v>
      </c>
      <c r="K473" s="9" t="s">
        <v>125</v>
      </c>
      <c r="L473" s="9" t="s">
        <v>458</v>
      </c>
      <c r="M473" s="5" t="str">
        <f>_xlfn.XLOOKUP(N473,enums!$C:$C,enums!$B:$B,"")</f>
        <v>拉力赛怪物</v>
      </c>
      <c r="N473" s="6" t="s">
        <v>251</v>
      </c>
    </row>
    <row r="474" ht="33" spans="1:14">
      <c r="A474" s="8" t="s">
        <v>1556</v>
      </c>
      <c r="B474" s="9">
        <v>60</v>
      </c>
      <c r="C474" s="9">
        <v>77</v>
      </c>
      <c r="D474" s="9" t="s">
        <v>1557</v>
      </c>
      <c r="E474" s="9">
        <v>1</v>
      </c>
      <c r="F474" s="9" t="s">
        <v>1558</v>
      </c>
      <c r="G474" s="10" t="s">
        <v>61</v>
      </c>
      <c r="H474" s="8" t="s">
        <v>18</v>
      </c>
      <c r="I474" s="12">
        <v>2750000</v>
      </c>
      <c r="J474" s="16" t="s">
        <v>91</v>
      </c>
      <c r="K474" s="9" t="s">
        <v>20</v>
      </c>
      <c r="L474" s="9" t="s">
        <v>1559</v>
      </c>
      <c r="M474" s="5" t="str">
        <f>_xlfn.XLOOKUP(N474,enums!$C:$C,enums!$B:$B,"")</f>
        <v>极限赛道玩具</v>
      </c>
      <c r="N474" s="6" t="s">
        <v>127</v>
      </c>
    </row>
    <row r="475" ht="33" spans="1:14">
      <c r="A475" s="8" t="s">
        <v>1560</v>
      </c>
      <c r="B475" s="9">
        <v>60</v>
      </c>
      <c r="C475" s="9">
        <v>77</v>
      </c>
      <c r="D475" s="9" t="s">
        <v>1557</v>
      </c>
      <c r="E475" s="9">
        <v>2</v>
      </c>
      <c r="F475" s="9" t="s">
        <v>1561</v>
      </c>
      <c r="G475" s="10" t="s">
        <v>17</v>
      </c>
      <c r="H475" s="8" t="s">
        <v>26</v>
      </c>
      <c r="I475" s="12">
        <v>3600000</v>
      </c>
      <c r="J475" s="16" t="s">
        <v>91</v>
      </c>
      <c r="K475" s="9" t="s">
        <v>20</v>
      </c>
      <c r="L475" s="9" t="s">
        <v>597</v>
      </c>
      <c r="M475" s="5" t="str">
        <f>_xlfn.XLOOKUP(N475,enums!$C:$C,enums!$B:$B,"")</f>
        <v>顶级超跑</v>
      </c>
      <c r="N475" s="6" t="s">
        <v>142</v>
      </c>
    </row>
    <row r="476" ht="33" spans="1:14">
      <c r="A476" s="8" t="s">
        <v>1562</v>
      </c>
      <c r="B476" s="9">
        <v>60</v>
      </c>
      <c r="C476" s="9">
        <v>77</v>
      </c>
      <c r="D476" s="9" t="s">
        <v>1557</v>
      </c>
      <c r="E476" s="9">
        <v>3</v>
      </c>
      <c r="F476" s="9" t="s">
        <v>1563</v>
      </c>
      <c r="G476" s="10" t="s">
        <v>229</v>
      </c>
      <c r="H476" s="8" t="s">
        <v>26</v>
      </c>
      <c r="I476" s="12">
        <v>4000000</v>
      </c>
      <c r="J476" s="16" t="s">
        <v>91</v>
      </c>
      <c r="K476" s="9" t="s">
        <v>20</v>
      </c>
      <c r="L476" s="9" t="s">
        <v>1564</v>
      </c>
      <c r="M476" s="5" t="str">
        <f>_xlfn.XLOOKUP(N476,enums!$C:$C,enums!$B:$B,"")</f>
        <v>顶级超跑</v>
      </c>
      <c r="N476" s="6" t="s">
        <v>142</v>
      </c>
    </row>
    <row r="477" ht="33" spans="1:14">
      <c r="A477" s="8" t="s">
        <v>1565</v>
      </c>
      <c r="B477" s="9">
        <v>60</v>
      </c>
      <c r="C477" s="9">
        <v>77</v>
      </c>
      <c r="D477" s="9" t="s">
        <v>1557</v>
      </c>
      <c r="E477" s="9">
        <v>4</v>
      </c>
      <c r="F477" s="9" t="s">
        <v>1566</v>
      </c>
      <c r="G477" s="10" t="s">
        <v>232</v>
      </c>
      <c r="H477" s="8" t="s">
        <v>26</v>
      </c>
      <c r="I477" s="12">
        <v>4750000</v>
      </c>
      <c r="J477" s="16" t="s">
        <v>91</v>
      </c>
      <c r="K477" s="9" t="s">
        <v>20</v>
      </c>
      <c r="L477" s="9" t="s">
        <v>1567</v>
      </c>
      <c r="M477" s="5" t="str">
        <f>_xlfn.XLOOKUP(N477,enums!$C:$C,enums!$B:$B,"")</f>
        <v>极限赛道玩具</v>
      </c>
      <c r="N477" s="6" t="s">
        <v>127</v>
      </c>
    </row>
    <row r="478" spans="1:14">
      <c r="A478" s="8" t="s">
        <v>1568</v>
      </c>
      <c r="B478" s="9">
        <v>61</v>
      </c>
      <c r="C478" s="9">
        <v>28</v>
      </c>
      <c r="D478" s="9" t="s">
        <v>1569</v>
      </c>
      <c r="E478" s="9">
        <v>1</v>
      </c>
      <c r="F478" s="9" t="s">
        <v>1570</v>
      </c>
      <c r="G478" s="10" t="s">
        <v>693</v>
      </c>
      <c r="H478" s="8" t="s">
        <v>38</v>
      </c>
      <c r="I478" s="12">
        <v>21000</v>
      </c>
      <c r="J478" s="16" t="s">
        <v>91</v>
      </c>
      <c r="K478" s="9" t="s">
        <v>132</v>
      </c>
      <c r="L478" s="9" t="s">
        <v>32</v>
      </c>
      <c r="M478" s="5" t="str">
        <f>_xlfn.XLOOKUP(N478,enums!$C:$C,enums!$B:$B,"")</f>
        <v>狂热跑车</v>
      </c>
      <c r="N478" s="6" t="s">
        <v>33</v>
      </c>
    </row>
    <row r="479" spans="1:14">
      <c r="A479" s="8" t="s">
        <v>1571</v>
      </c>
      <c r="B479" s="9">
        <v>61</v>
      </c>
      <c r="C479" s="9">
        <v>28</v>
      </c>
      <c r="D479" s="9" t="s">
        <v>1569</v>
      </c>
      <c r="E479" s="9">
        <v>2</v>
      </c>
      <c r="F479" s="9" t="s">
        <v>1572</v>
      </c>
      <c r="G479" s="10" t="s">
        <v>693</v>
      </c>
      <c r="H479" s="8" t="s">
        <v>1573</v>
      </c>
      <c r="I479" s="12">
        <v>21000</v>
      </c>
      <c r="J479" s="16" t="s">
        <v>91</v>
      </c>
      <c r="K479" s="9" t="s">
        <v>132</v>
      </c>
      <c r="L479" s="9" t="s">
        <v>32</v>
      </c>
      <c r="M479" s="5" t="str">
        <f>_xlfn.XLOOKUP(N479,enums!$C:$C,enums!$B:$B,"")</f>
        <v>狂热跑车</v>
      </c>
      <c r="N479" s="6" t="s">
        <v>33</v>
      </c>
    </row>
    <row r="480" spans="1:14">
      <c r="A480" s="8" t="s">
        <v>1574</v>
      </c>
      <c r="B480" s="9">
        <v>62</v>
      </c>
      <c r="C480" s="9">
        <v>29</v>
      </c>
      <c r="D480" s="9" t="s">
        <v>1575</v>
      </c>
      <c r="E480" s="9">
        <v>1</v>
      </c>
      <c r="F480" s="9" t="s">
        <v>1576</v>
      </c>
      <c r="G480" s="10" t="s">
        <v>221</v>
      </c>
      <c r="H480" s="8" t="s">
        <v>26</v>
      </c>
      <c r="I480" s="12">
        <v>85000</v>
      </c>
      <c r="J480" s="14" t="s">
        <v>39</v>
      </c>
      <c r="K480" s="9" t="s">
        <v>40</v>
      </c>
      <c r="L480" s="9" t="s">
        <v>1504</v>
      </c>
      <c r="M480" s="5" t="str">
        <f>_xlfn.XLOOKUP(N480,enums!$C:$C,enums!$B:$B,"")</f>
        <v>无限制沙滩车</v>
      </c>
      <c r="N480" s="6" t="s">
        <v>111</v>
      </c>
    </row>
    <row r="481" ht="33" spans="1:14">
      <c r="A481" s="8" t="s">
        <v>1577</v>
      </c>
      <c r="B481" s="9">
        <v>63</v>
      </c>
      <c r="C481" s="9">
        <v>51</v>
      </c>
      <c r="D481" s="9" t="s">
        <v>1578</v>
      </c>
      <c r="E481" s="9">
        <v>1</v>
      </c>
      <c r="F481" s="9" t="s">
        <v>1579</v>
      </c>
      <c r="G481" s="10" t="s">
        <v>77</v>
      </c>
      <c r="H481" s="8" t="s">
        <v>1580</v>
      </c>
      <c r="I481" s="12">
        <v>85000</v>
      </c>
      <c r="J481" s="15" t="s">
        <v>46</v>
      </c>
      <c r="K481" s="9" t="s">
        <v>1581</v>
      </c>
      <c r="L481" s="9" t="s">
        <v>1582</v>
      </c>
      <c r="M481" s="5" t="str">
        <f>_xlfn.XLOOKUP(N481,enums!$C:$C,enums!$B:$B,"")</f>
        <v>拉力赛怪物</v>
      </c>
      <c r="N481" s="6" t="s">
        <v>251</v>
      </c>
    </row>
    <row r="482" ht="33" spans="1:14">
      <c r="A482" s="8" t="s">
        <v>1583</v>
      </c>
      <c r="B482" s="9">
        <v>63</v>
      </c>
      <c r="C482" s="9">
        <v>51</v>
      </c>
      <c r="D482" s="9" t="s">
        <v>1578</v>
      </c>
      <c r="E482" s="9">
        <v>2</v>
      </c>
      <c r="F482" s="9" t="s">
        <v>1584</v>
      </c>
      <c r="G482" s="10" t="s">
        <v>893</v>
      </c>
      <c r="H482" s="8" t="s">
        <v>26</v>
      </c>
      <c r="I482" s="12">
        <v>22000</v>
      </c>
      <c r="J482" s="14" t="s">
        <v>39</v>
      </c>
      <c r="K482" s="9" t="s">
        <v>1581</v>
      </c>
      <c r="L482" s="9" t="s">
        <v>1061</v>
      </c>
      <c r="M482" s="5" t="str">
        <f>_xlfn.XLOOKUP(N482,enums!$C:$C,enums!$B:$B,"")</f>
        <v>复古高性能掀背车</v>
      </c>
      <c r="N482" s="6" t="s">
        <v>53</v>
      </c>
    </row>
    <row r="483" ht="33" spans="1:14">
      <c r="A483" s="8" t="s">
        <v>1585</v>
      </c>
      <c r="B483" s="9">
        <v>63</v>
      </c>
      <c r="C483" s="9">
        <v>51</v>
      </c>
      <c r="D483" s="9" t="s">
        <v>1578</v>
      </c>
      <c r="E483" s="9">
        <v>3</v>
      </c>
      <c r="F483" s="9" t="s">
        <v>1586</v>
      </c>
      <c r="G483" s="10" t="s">
        <v>680</v>
      </c>
      <c r="H483" s="8" t="s">
        <v>1587</v>
      </c>
      <c r="I483" s="12">
        <v>275000</v>
      </c>
      <c r="J483" s="9" t="s">
        <v>804</v>
      </c>
      <c r="K483" s="9" t="s">
        <v>1581</v>
      </c>
      <c r="L483" s="9" t="s">
        <v>714</v>
      </c>
      <c r="M483" s="5" t="str">
        <f>_xlfn.XLOOKUP(N483,enums!$C:$C,enums!$B:$B,"")</f>
        <v>复古拉力赛车</v>
      </c>
      <c r="N483" s="6" t="s">
        <v>256</v>
      </c>
    </row>
    <row r="484" spans="1:14">
      <c r="A484" s="8" t="s">
        <v>1588</v>
      </c>
      <c r="B484" s="9">
        <v>64</v>
      </c>
      <c r="C484" s="9">
        <v>30</v>
      </c>
      <c r="D484" s="9" t="s">
        <v>1589</v>
      </c>
      <c r="E484" s="9">
        <v>1</v>
      </c>
      <c r="F484" s="9" t="s">
        <v>1590</v>
      </c>
      <c r="G484" s="10" t="s">
        <v>1378</v>
      </c>
      <c r="H484" s="8" t="s">
        <v>26</v>
      </c>
      <c r="I484" s="12">
        <v>125000</v>
      </c>
      <c r="J484" s="15" t="s">
        <v>46</v>
      </c>
      <c r="K484" s="9" t="s">
        <v>40</v>
      </c>
      <c r="L484" s="9" t="s">
        <v>733</v>
      </c>
      <c r="M484" s="5" t="str">
        <f>_xlfn.XLOOKUP(N484,enums!$C:$C,enums!$B:$B,"")</f>
        <v>经典肌肉车</v>
      </c>
      <c r="N484" s="6" t="s">
        <v>466</v>
      </c>
    </row>
    <row r="485" spans="1:14">
      <c r="A485" s="8" t="s">
        <v>1591</v>
      </c>
      <c r="B485" s="9">
        <v>64</v>
      </c>
      <c r="C485" s="9">
        <v>30</v>
      </c>
      <c r="D485" s="9" t="s">
        <v>1589</v>
      </c>
      <c r="E485" s="9">
        <v>2</v>
      </c>
      <c r="F485" s="9" t="s">
        <v>1592</v>
      </c>
      <c r="G485" s="10" t="s">
        <v>31</v>
      </c>
      <c r="H485" s="8" t="s">
        <v>26</v>
      </c>
      <c r="I485" s="12">
        <v>45000</v>
      </c>
      <c r="J485" s="14" t="s">
        <v>39</v>
      </c>
      <c r="K485" s="9" t="s">
        <v>40</v>
      </c>
      <c r="L485" s="9" t="s">
        <v>1593</v>
      </c>
      <c r="M485" s="5" t="str">
        <f>_xlfn.XLOOKUP(N485,enums!$C:$C,enums!$B:$B,"")</f>
        <v>经典肌肉车</v>
      </c>
      <c r="N485" s="6" t="s">
        <v>466</v>
      </c>
    </row>
    <row r="486" spans="1:14">
      <c r="A486" s="8" t="s">
        <v>1594</v>
      </c>
      <c r="B486" s="9">
        <v>64</v>
      </c>
      <c r="C486" s="9">
        <v>30</v>
      </c>
      <c r="D486" s="9" t="s">
        <v>1589</v>
      </c>
      <c r="E486" s="9">
        <v>3</v>
      </c>
      <c r="F486" s="9" t="s">
        <v>1595</v>
      </c>
      <c r="G486" s="10" t="s">
        <v>1596</v>
      </c>
      <c r="H486" s="8" t="s">
        <v>26</v>
      </c>
      <c r="I486" s="12">
        <v>53000</v>
      </c>
      <c r="J486" s="14" t="s">
        <v>39</v>
      </c>
      <c r="K486" s="9" t="s">
        <v>40</v>
      </c>
      <c r="L486" s="9" t="s">
        <v>1597</v>
      </c>
      <c r="M486" s="5" t="str">
        <f>_xlfn.XLOOKUP(N486,enums!$C:$C,enums!$B:$B,"")</f>
        <v>改装车和特制车</v>
      </c>
      <c r="N486" s="6" t="s">
        <v>497</v>
      </c>
    </row>
    <row r="487" ht="66" spans="1:14">
      <c r="A487" s="8" t="s">
        <v>1598</v>
      </c>
      <c r="B487" s="9">
        <v>65</v>
      </c>
      <c r="C487" s="9">
        <v>49</v>
      </c>
      <c r="D487" s="9" t="s">
        <v>1599</v>
      </c>
      <c r="E487" s="9">
        <v>1</v>
      </c>
      <c r="F487" s="9" t="s">
        <v>1600</v>
      </c>
      <c r="G487" s="10" t="s">
        <v>61</v>
      </c>
      <c r="H487" s="8" t="s">
        <v>1601</v>
      </c>
      <c r="I487" s="12">
        <v>34000</v>
      </c>
      <c r="J487" s="14" t="s">
        <v>39</v>
      </c>
      <c r="K487" s="9" t="s">
        <v>40</v>
      </c>
      <c r="L487" s="9" t="s">
        <v>1602</v>
      </c>
      <c r="M487" s="5" t="str">
        <f>_xlfn.XLOOKUP(N487,enums!$C:$C,enums!$B:$B,"")</f>
        <v>多功能车</v>
      </c>
      <c r="N487" s="6" t="s">
        <v>412</v>
      </c>
    </row>
    <row r="488" ht="33" spans="1:14">
      <c r="A488" s="8" t="s">
        <v>1603</v>
      </c>
      <c r="B488" s="9">
        <v>65</v>
      </c>
      <c r="C488" s="9">
        <v>49</v>
      </c>
      <c r="D488" s="9" t="s">
        <v>1599</v>
      </c>
      <c r="E488" s="9">
        <v>2</v>
      </c>
      <c r="F488" s="9" t="s">
        <v>1604</v>
      </c>
      <c r="G488" s="10" t="s">
        <v>61</v>
      </c>
      <c r="H488" s="8" t="s">
        <v>26</v>
      </c>
      <c r="I488" s="12">
        <v>50000</v>
      </c>
      <c r="J488" s="14" t="s">
        <v>39</v>
      </c>
      <c r="K488" s="9" t="s">
        <v>40</v>
      </c>
      <c r="L488" s="9" t="s">
        <v>83</v>
      </c>
      <c r="M488" s="5" t="str">
        <f>_xlfn.XLOOKUP(N488,enums!$C:$C,enums!$B:$B,"")</f>
        <v>多功能车</v>
      </c>
      <c r="N488" s="6" t="s">
        <v>412</v>
      </c>
    </row>
    <row r="489" ht="33" spans="1:14">
      <c r="A489" s="8" t="s">
        <v>1605</v>
      </c>
      <c r="B489" s="9">
        <v>66</v>
      </c>
      <c r="C489" s="9">
        <v>78</v>
      </c>
      <c r="D489" s="9" t="s">
        <v>1606</v>
      </c>
      <c r="E489" s="9">
        <v>1</v>
      </c>
      <c r="F489" s="9" t="s">
        <v>1607</v>
      </c>
      <c r="G489" s="10" t="s">
        <v>389</v>
      </c>
      <c r="H489" s="8" t="s">
        <v>26</v>
      </c>
      <c r="I489" s="12">
        <v>25000</v>
      </c>
      <c r="J489" s="13" t="s">
        <v>19</v>
      </c>
      <c r="K489" s="9" t="s">
        <v>40</v>
      </c>
      <c r="L489" s="9" t="s">
        <v>1608</v>
      </c>
      <c r="M489" s="5" t="str">
        <f>_xlfn.XLOOKUP(N489,enums!$C:$C,enums!$B:$B,"")</f>
        <v>复古肌肉车</v>
      </c>
      <c r="N489" s="6" t="s">
        <v>391</v>
      </c>
    </row>
    <row r="490" ht="33" spans="1:14">
      <c r="A490" s="8" t="s">
        <v>1609</v>
      </c>
      <c r="B490" s="9">
        <v>66</v>
      </c>
      <c r="C490" s="9">
        <v>78</v>
      </c>
      <c r="D490" s="9" t="s">
        <v>1606</v>
      </c>
      <c r="E490" s="9">
        <v>2</v>
      </c>
      <c r="F490" s="9" t="s">
        <v>1610</v>
      </c>
      <c r="G490" s="10" t="s">
        <v>818</v>
      </c>
      <c r="H490" s="8" t="s">
        <v>26</v>
      </c>
      <c r="I490" s="12">
        <v>60000</v>
      </c>
      <c r="J490" s="14" t="s">
        <v>39</v>
      </c>
      <c r="K490" s="9" t="s">
        <v>40</v>
      </c>
      <c r="L490" s="9" t="s">
        <v>1611</v>
      </c>
      <c r="M490" s="5" t="str">
        <f>_xlfn.XLOOKUP(N490,enums!$C:$C,enums!$B:$B,"")</f>
        <v>经典肌肉车</v>
      </c>
      <c r="N490" s="6" t="s">
        <v>466</v>
      </c>
    </row>
    <row r="491" ht="33" spans="1:14">
      <c r="A491" s="8" t="s">
        <v>1612</v>
      </c>
      <c r="B491" s="9">
        <v>67</v>
      </c>
      <c r="C491" s="9">
        <v>48</v>
      </c>
      <c r="D491" s="9" t="s">
        <v>1613</v>
      </c>
      <c r="E491" s="9">
        <v>1</v>
      </c>
      <c r="F491" s="9" t="s">
        <v>1614</v>
      </c>
      <c r="G491" s="10" t="s">
        <v>37</v>
      </c>
      <c r="H491" s="8" t="s">
        <v>26</v>
      </c>
      <c r="I491" s="12">
        <v>275000</v>
      </c>
      <c r="J491" s="14" t="s">
        <v>39</v>
      </c>
      <c r="K491" s="9" t="s">
        <v>125</v>
      </c>
      <c r="L491" s="9" t="s">
        <v>684</v>
      </c>
      <c r="M491" s="5" t="str">
        <f>_xlfn.XLOOKUP(N491,enums!$C:$C,enums!$B:$B,"")</f>
        <v>现代超级跑车</v>
      </c>
      <c r="N491" s="6" t="s">
        <v>48</v>
      </c>
    </row>
    <row r="492" ht="33" spans="1:14">
      <c r="A492" s="8" t="s">
        <v>1615</v>
      </c>
      <c r="B492" s="9">
        <v>67</v>
      </c>
      <c r="C492" s="9">
        <v>48</v>
      </c>
      <c r="D492" s="9" t="s">
        <v>1613</v>
      </c>
      <c r="E492" s="9">
        <v>2</v>
      </c>
      <c r="F492" s="9" t="s">
        <v>1616</v>
      </c>
      <c r="G492" s="10" t="s">
        <v>37</v>
      </c>
      <c r="H492" s="8" t="s">
        <v>26</v>
      </c>
      <c r="I492" s="12">
        <v>424000</v>
      </c>
      <c r="J492" s="15" t="s">
        <v>46</v>
      </c>
      <c r="K492" s="9" t="s">
        <v>125</v>
      </c>
      <c r="L492" s="9" t="s">
        <v>1617</v>
      </c>
      <c r="M492" s="5" t="str">
        <f>_xlfn.XLOOKUP(N492,enums!$C:$C,enums!$B:$B,"")</f>
        <v>赛道玩具</v>
      </c>
      <c r="N492" s="6" t="s">
        <v>273</v>
      </c>
    </row>
    <row r="493" ht="33" spans="1:14">
      <c r="A493" s="8" t="s">
        <v>1618</v>
      </c>
      <c r="B493" s="9">
        <v>67</v>
      </c>
      <c r="C493" s="9">
        <v>48</v>
      </c>
      <c r="D493" s="9" t="s">
        <v>1613</v>
      </c>
      <c r="E493" s="9">
        <v>3</v>
      </c>
      <c r="F493" s="9" t="s">
        <v>1619</v>
      </c>
      <c r="G493" s="10" t="s">
        <v>37</v>
      </c>
      <c r="H493" s="8" t="s">
        <v>1620</v>
      </c>
      <c r="I493" s="12">
        <v>390000</v>
      </c>
      <c r="J493" s="15" t="s">
        <v>46</v>
      </c>
      <c r="K493" s="9" t="s">
        <v>125</v>
      </c>
      <c r="L493" s="9" t="s">
        <v>291</v>
      </c>
      <c r="M493" s="5" t="str">
        <f>_xlfn.XLOOKUP(N493,enums!$C:$C,enums!$B:$B,"")</f>
        <v>拉力赛怪物</v>
      </c>
      <c r="N493" s="6" t="s">
        <v>251</v>
      </c>
    </row>
    <row r="494" ht="33" spans="1:14">
      <c r="A494" s="8" t="s">
        <v>1621</v>
      </c>
      <c r="B494" s="9">
        <v>67</v>
      </c>
      <c r="C494" s="9">
        <v>48</v>
      </c>
      <c r="D494" s="9" t="s">
        <v>1613</v>
      </c>
      <c r="E494" s="9">
        <v>4</v>
      </c>
      <c r="F494" s="9" t="s">
        <v>1622</v>
      </c>
      <c r="G494" s="10" t="s">
        <v>44</v>
      </c>
      <c r="H494" s="8" t="s">
        <v>26</v>
      </c>
      <c r="I494" s="12">
        <v>5000000</v>
      </c>
      <c r="J494" s="16" t="s">
        <v>91</v>
      </c>
      <c r="K494" s="9" t="s">
        <v>125</v>
      </c>
      <c r="L494" s="9" t="s">
        <v>1623</v>
      </c>
      <c r="M494" s="5" t="str">
        <f>_xlfn.XLOOKUP(N494,enums!$C:$C,enums!$B:$B,"")</f>
        <v>极限赛道玩具</v>
      </c>
      <c r="N494" s="17" t="s">
        <v>127</v>
      </c>
    </row>
    <row r="495" ht="49.5" spans="1:14">
      <c r="A495" s="8" t="s">
        <v>1624</v>
      </c>
      <c r="B495" s="9">
        <v>67</v>
      </c>
      <c r="C495" s="9">
        <v>48</v>
      </c>
      <c r="D495" s="9" t="s">
        <v>1613</v>
      </c>
      <c r="E495" s="9">
        <v>5</v>
      </c>
      <c r="F495" s="9" t="s">
        <v>1625</v>
      </c>
      <c r="G495" s="10" t="s">
        <v>44</v>
      </c>
      <c r="H495" s="8" t="s">
        <v>1626</v>
      </c>
      <c r="I495" s="12">
        <v>190000</v>
      </c>
      <c r="J495" s="15" t="s">
        <v>46</v>
      </c>
      <c r="K495" s="9" t="s">
        <v>125</v>
      </c>
      <c r="L495" s="9" t="s">
        <v>420</v>
      </c>
      <c r="M495" s="5" t="str">
        <f>_xlfn.XLOOKUP(N495,enums!$C:$C,enums!$B:$B,"")</f>
        <v>赛道玩具</v>
      </c>
      <c r="N495" s="6" t="s">
        <v>273</v>
      </c>
    </row>
    <row r="496" ht="33" spans="1:14">
      <c r="A496" s="8" t="s">
        <v>1627</v>
      </c>
      <c r="B496" s="9">
        <v>67</v>
      </c>
      <c r="C496" s="9">
        <v>48</v>
      </c>
      <c r="D496" s="9" t="s">
        <v>1613</v>
      </c>
      <c r="E496" s="9">
        <v>6</v>
      </c>
      <c r="F496" s="9" t="s">
        <v>1628</v>
      </c>
      <c r="G496" s="10" t="s">
        <v>61</v>
      </c>
      <c r="H496" s="8" t="s">
        <v>26</v>
      </c>
      <c r="I496" s="12">
        <v>260000</v>
      </c>
      <c r="J496" s="15" t="s">
        <v>46</v>
      </c>
      <c r="K496" s="9" t="s">
        <v>125</v>
      </c>
      <c r="L496" s="9" t="s">
        <v>883</v>
      </c>
      <c r="M496" s="5" t="str">
        <f>_xlfn.XLOOKUP(N496,enums!$C:$C,enums!$B:$B,"")</f>
        <v>赛道玩具</v>
      </c>
      <c r="N496" s="6" t="s">
        <v>273</v>
      </c>
    </row>
    <row r="497" ht="33" spans="1:14">
      <c r="A497" s="8" t="s">
        <v>1629</v>
      </c>
      <c r="B497" s="9">
        <v>67</v>
      </c>
      <c r="C497" s="9">
        <v>48</v>
      </c>
      <c r="D497" s="9" t="s">
        <v>1613</v>
      </c>
      <c r="E497" s="9">
        <v>7</v>
      </c>
      <c r="F497" s="9" t="s">
        <v>1630</v>
      </c>
      <c r="G497" s="10" t="s">
        <v>191</v>
      </c>
      <c r="H497" s="8" t="s">
        <v>26</v>
      </c>
      <c r="I497" s="12">
        <v>200000</v>
      </c>
      <c r="J497" s="13" t="s">
        <v>19</v>
      </c>
      <c r="K497" s="9" t="s">
        <v>125</v>
      </c>
      <c r="L497" s="9" t="s">
        <v>1631</v>
      </c>
      <c r="M497" s="5" t="str">
        <f>_xlfn.XLOOKUP(N497,enums!$C:$C,enums!$B:$B,"")</f>
        <v>现代超级轿车</v>
      </c>
      <c r="N497" s="6" t="s">
        <v>64</v>
      </c>
    </row>
    <row r="498" ht="33" spans="1:14">
      <c r="A498" s="8" t="s">
        <v>1632</v>
      </c>
      <c r="B498" s="9">
        <v>67</v>
      </c>
      <c r="C498" s="9">
        <v>48</v>
      </c>
      <c r="D498" s="9" t="s">
        <v>1613</v>
      </c>
      <c r="E498" s="9">
        <v>8</v>
      </c>
      <c r="F498" s="9" t="s">
        <v>1633</v>
      </c>
      <c r="G498" s="10" t="s">
        <v>123</v>
      </c>
      <c r="H498" s="8" t="s">
        <v>26</v>
      </c>
      <c r="I498" s="12">
        <v>1600000</v>
      </c>
      <c r="J498" s="16" t="s">
        <v>91</v>
      </c>
      <c r="K498" s="9" t="s">
        <v>125</v>
      </c>
      <c r="L498" s="9" t="s">
        <v>1634</v>
      </c>
      <c r="M498" s="5" t="str">
        <f>_xlfn.XLOOKUP(N498,enums!$C:$C,enums!$B:$B,"")</f>
        <v>极限赛道玩具</v>
      </c>
      <c r="N498" s="17" t="s">
        <v>127</v>
      </c>
    </row>
    <row r="499" ht="33" spans="1:14">
      <c r="A499" s="8" t="s">
        <v>1635</v>
      </c>
      <c r="B499" s="9">
        <v>67</v>
      </c>
      <c r="C499" s="9">
        <v>48</v>
      </c>
      <c r="D499" s="9" t="s">
        <v>1613</v>
      </c>
      <c r="E499" s="9">
        <v>9</v>
      </c>
      <c r="F499" s="9" t="s">
        <v>1636</v>
      </c>
      <c r="G499" s="10" t="s">
        <v>123</v>
      </c>
      <c r="H499" s="8" t="s">
        <v>124</v>
      </c>
      <c r="I499" s="12">
        <v>250000</v>
      </c>
      <c r="J499" s="15" t="s">
        <v>46</v>
      </c>
      <c r="K499" s="9" t="s">
        <v>125</v>
      </c>
      <c r="L499" s="9" t="s">
        <v>861</v>
      </c>
      <c r="M499" s="5" t="str">
        <f>_xlfn.XLOOKUP(N499,enums!$C:$C,enums!$B:$B,"")</f>
        <v>赛道玩具</v>
      </c>
      <c r="N499" s="6" t="s">
        <v>273</v>
      </c>
    </row>
    <row r="500" ht="33" spans="1:14">
      <c r="A500" s="8" t="s">
        <v>1637</v>
      </c>
      <c r="B500" s="9">
        <v>67</v>
      </c>
      <c r="C500" s="9">
        <v>48</v>
      </c>
      <c r="D500" s="9" t="s">
        <v>1613</v>
      </c>
      <c r="E500" s="9">
        <v>10</v>
      </c>
      <c r="F500" s="9" t="s">
        <v>1638</v>
      </c>
      <c r="G500" s="10" t="s">
        <v>123</v>
      </c>
      <c r="H500" s="8" t="s">
        <v>26</v>
      </c>
      <c r="I500" s="12">
        <v>145000</v>
      </c>
      <c r="J500" s="14" t="s">
        <v>39</v>
      </c>
      <c r="K500" s="9" t="s">
        <v>125</v>
      </c>
      <c r="L500" s="9" t="s">
        <v>617</v>
      </c>
      <c r="M500" s="5" t="str">
        <f>_xlfn.XLOOKUP(N500,enums!$C:$C,enums!$B:$B,"")</f>
        <v>现代跑车</v>
      </c>
      <c r="N500" s="6" t="s">
        <v>74</v>
      </c>
    </row>
    <row r="501" ht="33" spans="1:14">
      <c r="A501" s="8" t="s">
        <v>1639</v>
      </c>
      <c r="B501" s="9">
        <v>67</v>
      </c>
      <c r="C501" s="9">
        <v>48</v>
      </c>
      <c r="D501" s="9" t="s">
        <v>1613</v>
      </c>
      <c r="E501" s="9">
        <v>11</v>
      </c>
      <c r="F501" s="9" t="s">
        <v>1640</v>
      </c>
      <c r="G501" s="10" t="s">
        <v>198</v>
      </c>
      <c r="H501" s="8" t="s">
        <v>38</v>
      </c>
      <c r="I501" s="12">
        <v>550000</v>
      </c>
      <c r="J501" s="15" t="s">
        <v>46</v>
      </c>
      <c r="K501" s="9" t="s">
        <v>125</v>
      </c>
      <c r="L501" s="9" t="s">
        <v>602</v>
      </c>
      <c r="M501" s="5" t="str">
        <f>_xlfn.XLOOKUP(N501,enums!$C:$C,enums!$B:$B,"")</f>
        <v>赛道玩具</v>
      </c>
      <c r="N501" s="6" t="s">
        <v>273</v>
      </c>
    </row>
    <row r="502" ht="33" spans="1:14">
      <c r="A502" s="8" t="s">
        <v>1641</v>
      </c>
      <c r="B502" s="9">
        <v>67</v>
      </c>
      <c r="C502" s="9">
        <v>48</v>
      </c>
      <c r="D502" s="9" t="s">
        <v>1613</v>
      </c>
      <c r="E502" s="9">
        <v>12</v>
      </c>
      <c r="F502" s="9" t="s">
        <v>1642</v>
      </c>
      <c r="G502" s="10" t="s">
        <v>198</v>
      </c>
      <c r="H502" s="8" t="s">
        <v>26</v>
      </c>
      <c r="I502" s="12">
        <v>75000</v>
      </c>
      <c r="J502" s="15" t="s">
        <v>46</v>
      </c>
      <c r="K502" s="9" t="s">
        <v>125</v>
      </c>
      <c r="L502" s="9" t="s">
        <v>1643</v>
      </c>
      <c r="M502" s="5" t="str">
        <f>_xlfn.XLOOKUP(N502,enums!$C:$C,enums!$B:$B,"")</f>
        <v>现代跑车</v>
      </c>
      <c r="N502" s="6" t="s">
        <v>74</v>
      </c>
    </row>
    <row r="503" ht="33" spans="1:14">
      <c r="A503" s="8" t="s">
        <v>1644</v>
      </c>
      <c r="B503" s="9">
        <v>67</v>
      </c>
      <c r="C503" s="9">
        <v>48</v>
      </c>
      <c r="D503" s="9" t="s">
        <v>1613</v>
      </c>
      <c r="E503" s="9">
        <v>13</v>
      </c>
      <c r="F503" s="9" t="s">
        <v>1645</v>
      </c>
      <c r="G503" s="10" t="s">
        <v>198</v>
      </c>
      <c r="H503" s="8" t="s">
        <v>26</v>
      </c>
      <c r="I503" s="12">
        <v>79000</v>
      </c>
      <c r="J503" s="15" t="s">
        <v>46</v>
      </c>
      <c r="K503" s="9" t="s">
        <v>125</v>
      </c>
      <c r="L503" s="9" t="s">
        <v>1646</v>
      </c>
      <c r="M503" s="5" t="str">
        <f>_xlfn.XLOOKUP(N503,enums!$C:$C,enums!$B:$B,"")</f>
        <v>运动型多功能英雄车</v>
      </c>
      <c r="N503" s="6" t="s">
        <v>150</v>
      </c>
    </row>
    <row r="504" ht="33" spans="1:14">
      <c r="A504" s="8" t="s">
        <v>1647</v>
      </c>
      <c r="B504" s="9">
        <v>67</v>
      </c>
      <c r="C504" s="9">
        <v>48</v>
      </c>
      <c r="D504" s="9" t="s">
        <v>1613</v>
      </c>
      <c r="E504" s="9">
        <v>14</v>
      </c>
      <c r="F504" s="9" t="s">
        <v>1648</v>
      </c>
      <c r="G504" s="10" t="s">
        <v>198</v>
      </c>
      <c r="H504" s="8" t="s">
        <v>26</v>
      </c>
      <c r="I504" s="12">
        <v>250000</v>
      </c>
      <c r="J504" s="15" t="s">
        <v>46</v>
      </c>
      <c r="K504" s="9" t="s">
        <v>125</v>
      </c>
      <c r="L504" s="9" t="s">
        <v>788</v>
      </c>
      <c r="M504" s="5" t="str">
        <f>_xlfn.XLOOKUP(N504,enums!$C:$C,enums!$B:$B,"")</f>
        <v>越野车</v>
      </c>
      <c r="N504" s="6" t="s">
        <v>734</v>
      </c>
    </row>
    <row r="505" ht="49.5" spans="1:14">
      <c r="A505" s="8" t="s">
        <v>1649</v>
      </c>
      <c r="B505" s="9">
        <v>67</v>
      </c>
      <c r="C505" s="9">
        <v>48</v>
      </c>
      <c r="D505" s="9" t="s">
        <v>1613</v>
      </c>
      <c r="E505" s="9">
        <v>15</v>
      </c>
      <c r="F505" s="9" t="s">
        <v>1650</v>
      </c>
      <c r="G505" s="10" t="s">
        <v>71</v>
      </c>
      <c r="H505" s="8" t="s">
        <v>1651</v>
      </c>
      <c r="I505" s="12">
        <v>2300000</v>
      </c>
      <c r="J505" s="16" t="s">
        <v>91</v>
      </c>
      <c r="K505" s="9" t="s">
        <v>125</v>
      </c>
      <c r="L505" s="9" t="s">
        <v>1511</v>
      </c>
      <c r="M505" s="5" t="str">
        <f>_xlfn.XLOOKUP(N505,enums!$C:$C,enums!$B:$B,"")</f>
        <v>顶级超跑</v>
      </c>
      <c r="N505" s="6" t="s">
        <v>142</v>
      </c>
    </row>
    <row r="506" ht="49.5" spans="1:14">
      <c r="A506" s="8" t="s">
        <v>1652</v>
      </c>
      <c r="B506" s="9">
        <v>67</v>
      </c>
      <c r="C506" s="9">
        <v>48</v>
      </c>
      <c r="D506" s="9" t="s">
        <v>1613</v>
      </c>
      <c r="E506" s="9">
        <v>16</v>
      </c>
      <c r="F506" s="9" t="s">
        <v>1653</v>
      </c>
      <c r="G506" s="10" t="s">
        <v>329</v>
      </c>
      <c r="H506" s="8" t="s">
        <v>1654</v>
      </c>
      <c r="I506" s="12">
        <v>930000</v>
      </c>
      <c r="J506" s="15" t="s">
        <v>46</v>
      </c>
      <c r="K506" s="9" t="s">
        <v>125</v>
      </c>
      <c r="L506" s="9" t="s">
        <v>250</v>
      </c>
      <c r="M506" s="5" t="str">
        <f>_xlfn.XLOOKUP(N506,enums!$C:$C,enums!$B:$B,"")</f>
        <v>赛道玩具</v>
      </c>
      <c r="N506" s="6" t="s">
        <v>273</v>
      </c>
    </row>
    <row r="507" ht="33" spans="1:14">
      <c r="A507" s="8" t="s">
        <v>1655</v>
      </c>
      <c r="B507" s="9">
        <v>67</v>
      </c>
      <c r="C507" s="9">
        <v>48</v>
      </c>
      <c r="D507" s="9" t="s">
        <v>1613</v>
      </c>
      <c r="E507" s="9">
        <v>17</v>
      </c>
      <c r="F507" s="9" t="s">
        <v>1656</v>
      </c>
      <c r="G507" s="10" t="s">
        <v>348</v>
      </c>
      <c r="H507" s="8" t="s">
        <v>26</v>
      </c>
      <c r="I507" s="12">
        <v>180000</v>
      </c>
      <c r="J507" s="15" t="s">
        <v>46</v>
      </c>
      <c r="K507" s="9" t="s">
        <v>125</v>
      </c>
      <c r="L507" s="9" t="s">
        <v>1657</v>
      </c>
      <c r="M507" s="5" t="str">
        <f>_xlfn.XLOOKUP(N507,enums!$C:$C,enums!$B:$B,"")</f>
        <v>极限赛道玩具</v>
      </c>
      <c r="N507" s="6" t="s">
        <v>127</v>
      </c>
    </row>
    <row r="508" ht="33" spans="1:14">
      <c r="A508" s="8" t="s">
        <v>1658</v>
      </c>
      <c r="B508" s="9">
        <v>67</v>
      </c>
      <c r="C508" s="9">
        <v>48</v>
      </c>
      <c r="D508" s="9" t="s">
        <v>1613</v>
      </c>
      <c r="E508" s="9">
        <v>18</v>
      </c>
      <c r="F508" s="9" t="s">
        <v>1659</v>
      </c>
      <c r="G508" s="10" t="s">
        <v>951</v>
      </c>
      <c r="H508" s="8" t="s">
        <v>38</v>
      </c>
      <c r="I508" s="12">
        <v>135000</v>
      </c>
      <c r="J508" s="14" t="s">
        <v>39</v>
      </c>
      <c r="K508" s="9" t="s">
        <v>125</v>
      </c>
      <c r="L508" s="9" t="s">
        <v>1325</v>
      </c>
      <c r="M508" s="5" t="str">
        <f>_xlfn.XLOOKUP(N508,enums!$C:$C,enums!$B:$B,"")</f>
        <v>复古超级轿车</v>
      </c>
      <c r="N508" s="6" t="s">
        <v>378</v>
      </c>
    </row>
    <row r="509" ht="33" spans="1:14">
      <c r="A509" s="8" t="s">
        <v>1660</v>
      </c>
      <c r="B509" s="9">
        <v>67</v>
      </c>
      <c r="C509" s="9">
        <v>48</v>
      </c>
      <c r="D509" s="9" t="s">
        <v>1613</v>
      </c>
      <c r="E509" s="9">
        <v>19</v>
      </c>
      <c r="F509" s="9" t="s">
        <v>1661</v>
      </c>
      <c r="G509" s="10" t="s">
        <v>242</v>
      </c>
      <c r="H509" s="8" t="s">
        <v>1662</v>
      </c>
      <c r="I509" s="12">
        <v>1800000</v>
      </c>
      <c r="J509" s="15" t="s">
        <v>46</v>
      </c>
      <c r="K509" s="9" t="s">
        <v>125</v>
      </c>
      <c r="L509" s="9" t="s">
        <v>1617</v>
      </c>
      <c r="M509" s="5" t="str">
        <f>_xlfn.XLOOKUP(N509,enums!$C:$C,enums!$B:$B,"")</f>
        <v>复古超级轿车</v>
      </c>
      <c r="N509" s="6" t="s">
        <v>378</v>
      </c>
    </row>
    <row r="510" ht="33" spans="1:14">
      <c r="A510" s="8" t="s">
        <v>1663</v>
      </c>
      <c r="B510" s="9">
        <v>67</v>
      </c>
      <c r="C510" s="9">
        <v>48</v>
      </c>
      <c r="D510" s="9" t="s">
        <v>1613</v>
      </c>
      <c r="E510" s="9">
        <v>20</v>
      </c>
      <c r="F510" s="9" t="s">
        <v>1664</v>
      </c>
      <c r="G510" s="10" t="s">
        <v>355</v>
      </c>
      <c r="H510" s="8" t="s">
        <v>26</v>
      </c>
      <c r="I510" s="12">
        <v>4000000</v>
      </c>
      <c r="J510" s="16" t="s">
        <v>91</v>
      </c>
      <c r="K510" s="9" t="s">
        <v>125</v>
      </c>
      <c r="L510" s="9" t="s">
        <v>1665</v>
      </c>
      <c r="M510" s="5" t="str">
        <f>_xlfn.XLOOKUP(N510,enums!$C:$C,enums!$B:$B,"")</f>
        <v>复古超级轿车</v>
      </c>
      <c r="N510" s="6" t="s">
        <v>378</v>
      </c>
    </row>
    <row r="511" ht="33" spans="1:14">
      <c r="A511" s="8" t="s">
        <v>1666</v>
      </c>
      <c r="B511" s="9">
        <v>67</v>
      </c>
      <c r="C511" s="9">
        <v>48</v>
      </c>
      <c r="D511" s="9" t="s">
        <v>1613</v>
      </c>
      <c r="E511" s="9">
        <v>21</v>
      </c>
      <c r="F511" s="9" t="s">
        <v>1667</v>
      </c>
      <c r="G511" s="10" t="s">
        <v>359</v>
      </c>
      <c r="H511" s="8" t="s">
        <v>124</v>
      </c>
      <c r="I511" s="12">
        <v>1100000</v>
      </c>
      <c r="J511" s="15" t="s">
        <v>46</v>
      </c>
      <c r="K511" s="9" t="s">
        <v>125</v>
      </c>
      <c r="L511" s="9" t="s">
        <v>73</v>
      </c>
      <c r="M511" s="5" t="str">
        <f>_xlfn.XLOOKUP(N511,enums!$C:$C,enums!$B:$B,"")</f>
        <v>复古超级轿车</v>
      </c>
      <c r="N511" s="6" t="s">
        <v>378</v>
      </c>
    </row>
    <row r="512" ht="33" spans="1:14">
      <c r="A512" s="8" t="s">
        <v>1668</v>
      </c>
      <c r="B512" s="9">
        <v>67</v>
      </c>
      <c r="C512" s="9">
        <v>48</v>
      </c>
      <c r="D512" s="9" t="s">
        <v>1613</v>
      </c>
      <c r="E512" s="9">
        <v>22</v>
      </c>
      <c r="F512" s="9" t="s">
        <v>1669</v>
      </c>
      <c r="G512" s="10" t="s">
        <v>265</v>
      </c>
      <c r="H512" s="8" t="s">
        <v>18</v>
      </c>
      <c r="I512" s="12">
        <v>600000</v>
      </c>
      <c r="J512" s="16" t="s">
        <v>91</v>
      </c>
      <c r="K512" s="9" t="s">
        <v>125</v>
      </c>
      <c r="L512" s="9" t="s">
        <v>330</v>
      </c>
      <c r="M512" s="5" t="str">
        <f>_xlfn.XLOOKUP(N512,enums!$C:$C,enums!$B:$B,"")</f>
        <v>复古跑车</v>
      </c>
      <c r="N512" s="6" t="s">
        <v>364</v>
      </c>
    </row>
    <row r="513" ht="33" spans="1:14">
      <c r="A513" s="8" t="s">
        <v>1670</v>
      </c>
      <c r="B513" s="9">
        <v>67</v>
      </c>
      <c r="C513" s="9">
        <v>48</v>
      </c>
      <c r="D513" s="9" t="s">
        <v>1613</v>
      </c>
      <c r="E513" s="9">
        <v>23</v>
      </c>
      <c r="F513" s="9" t="s">
        <v>1671</v>
      </c>
      <c r="G513" s="10" t="s">
        <v>265</v>
      </c>
      <c r="H513" s="8" t="s">
        <v>26</v>
      </c>
      <c r="I513" s="12">
        <v>520000</v>
      </c>
      <c r="J513" s="14" t="s">
        <v>39</v>
      </c>
      <c r="K513" s="9" t="s">
        <v>125</v>
      </c>
      <c r="L513" s="9" t="s">
        <v>721</v>
      </c>
      <c r="M513" s="5" t="str">
        <f>_xlfn.XLOOKUP(N513,enums!$C:$C,enums!$B:$B,"")</f>
        <v>复古跑车</v>
      </c>
      <c r="N513" s="6" t="s">
        <v>364</v>
      </c>
    </row>
    <row r="514" ht="33" spans="1:14">
      <c r="A514" s="8" t="s">
        <v>1672</v>
      </c>
      <c r="B514" s="9">
        <v>67</v>
      </c>
      <c r="C514" s="9">
        <v>48</v>
      </c>
      <c r="D514" s="9" t="s">
        <v>1613</v>
      </c>
      <c r="E514" s="9">
        <v>24</v>
      </c>
      <c r="F514" s="9" t="s">
        <v>1673</v>
      </c>
      <c r="G514" s="10" t="s">
        <v>265</v>
      </c>
      <c r="H514" s="8" t="s">
        <v>26</v>
      </c>
      <c r="I514" s="12">
        <v>150000</v>
      </c>
      <c r="J514" s="14" t="s">
        <v>39</v>
      </c>
      <c r="K514" s="9" t="s">
        <v>125</v>
      </c>
      <c r="L514" s="9" t="s">
        <v>759</v>
      </c>
      <c r="M514" s="5" t="str">
        <f>_xlfn.XLOOKUP(N514,enums!$C:$C,enums!$B:$B,"")</f>
        <v>复古跑车</v>
      </c>
      <c r="N514" s="6" t="s">
        <v>364</v>
      </c>
    </row>
    <row r="515" ht="33" spans="1:14">
      <c r="A515" s="8" t="s">
        <v>1674</v>
      </c>
      <c r="B515" s="9">
        <v>67</v>
      </c>
      <c r="C515" s="9">
        <v>48</v>
      </c>
      <c r="D515" s="9" t="s">
        <v>1613</v>
      </c>
      <c r="E515" s="9">
        <v>25</v>
      </c>
      <c r="F515" s="9" t="s">
        <v>1675</v>
      </c>
      <c r="G515" s="10" t="s">
        <v>674</v>
      </c>
      <c r="H515" s="8" t="s">
        <v>26</v>
      </c>
      <c r="I515" s="12">
        <v>30000</v>
      </c>
      <c r="J515" s="14" t="s">
        <v>39</v>
      </c>
      <c r="K515" s="9" t="s">
        <v>125</v>
      </c>
      <c r="L515" s="9" t="s">
        <v>1676</v>
      </c>
      <c r="M515" s="5" t="str">
        <f>_xlfn.XLOOKUP(N515,enums!$C:$C,enums!$B:$B,"")</f>
        <v>复古跑车</v>
      </c>
      <c r="N515" s="6" t="s">
        <v>364</v>
      </c>
    </row>
    <row r="516" ht="33" spans="1:14">
      <c r="A516" s="8" t="s">
        <v>1677</v>
      </c>
      <c r="B516" s="9">
        <v>67</v>
      </c>
      <c r="C516" s="9">
        <v>48</v>
      </c>
      <c r="D516" s="9" t="s">
        <v>1613</v>
      </c>
      <c r="E516" s="9">
        <v>26</v>
      </c>
      <c r="F516" s="9" t="s">
        <v>1678</v>
      </c>
      <c r="G516" s="10" t="s">
        <v>389</v>
      </c>
      <c r="H516" s="8" t="s">
        <v>1679</v>
      </c>
      <c r="I516" s="12">
        <v>1875000</v>
      </c>
      <c r="J516" s="9" t="s">
        <v>376</v>
      </c>
      <c r="K516" s="9" t="s">
        <v>125</v>
      </c>
      <c r="L516" s="9" t="s">
        <v>1680</v>
      </c>
      <c r="M516" s="5" t="str">
        <f>_xlfn.XLOOKUP(N516,enums!$C:$C,enums!$B:$B,"")</f>
        <v>复古超级轿车</v>
      </c>
      <c r="N516" s="6" t="s">
        <v>378</v>
      </c>
    </row>
    <row r="517" ht="33" spans="1:14">
      <c r="A517" s="8" t="s">
        <v>1681</v>
      </c>
      <c r="B517" s="9">
        <v>67</v>
      </c>
      <c r="C517" s="9">
        <v>48</v>
      </c>
      <c r="D517" s="9" t="s">
        <v>1613</v>
      </c>
      <c r="E517" s="9">
        <v>27</v>
      </c>
      <c r="F517" s="9" t="s">
        <v>1682</v>
      </c>
      <c r="G517" s="10" t="s">
        <v>813</v>
      </c>
      <c r="H517" s="8" t="s">
        <v>26</v>
      </c>
      <c r="I517" s="12">
        <v>1500000</v>
      </c>
      <c r="J517" s="16" t="s">
        <v>91</v>
      </c>
      <c r="K517" s="9" t="s">
        <v>125</v>
      </c>
      <c r="L517" s="9" t="s">
        <v>1180</v>
      </c>
      <c r="M517" s="5" t="str">
        <f>_xlfn.XLOOKUP(N517,enums!$C:$C,enums!$B:$B,"")</f>
        <v>拉力赛怪物</v>
      </c>
      <c r="N517" s="17" t="s">
        <v>251</v>
      </c>
    </row>
    <row r="518" ht="33" spans="1:14">
      <c r="A518" s="8" t="s">
        <v>1683</v>
      </c>
      <c r="B518" s="9">
        <v>67</v>
      </c>
      <c r="C518" s="9">
        <v>48</v>
      </c>
      <c r="D518" s="9" t="s">
        <v>1613</v>
      </c>
      <c r="E518" s="9">
        <v>28</v>
      </c>
      <c r="F518" s="9" t="s">
        <v>1684</v>
      </c>
      <c r="G518" s="10" t="s">
        <v>540</v>
      </c>
      <c r="H518" s="8" t="s">
        <v>1685</v>
      </c>
      <c r="I518" s="12">
        <v>240000</v>
      </c>
      <c r="J518" s="9" t="s">
        <v>804</v>
      </c>
      <c r="K518" s="9" t="s">
        <v>125</v>
      </c>
      <c r="L518" s="9" t="s">
        <v>1686</v>
      </c>
      <c r="M518" s="5" t="str">
        <f>_xlfn.XLOOKUP(N518,enums!$C:$C,enums!$B:$B,"")</f>
        <v>复古超级轿车</v>
      </c>
      <c r="N518" s="6" t="s">
        <v>378</v>
      </c>
    </row>
    <row r="519" ht="33" spans="1:14">
      <c r="A519" s="8" t="s">
        <v>1687</v>
      </c>
      <c r="B519" s="9">
        <v>67</v>
      </c>
      <c r="C519" s="9">
        <v>48</v>
      </c>
      <c r="D519" s="9" t="s">
        <v>1613</v>
      </c>
      <c r="E519" s="9">
        <v>29</v>
      </c>
      <c r="F519" s="9" t="s">
        <v>1688</v>
      </c>
      <c r="G519" s="10" t="s">
        <v>381</v>
      </c>
      <c r="H519" s="8" t="s">
        <v>26</v>
      </c>
      <c r="I519" s="12">
        <v>1050000</v>
      </c>
      <c r="J519" s="16" t="s">
        <v>91</v>
      </c>
      <c r="K519" s="9" t="s">
        <v>125</v>
      </c>
      <c r="L519" s="9" t="s">
        <v>1689</v>
      </c>
      <c r="M519" s="5" t="str">
        <f>_xlfn.XLOOKUP(N519,enums!$C:$C,enums!$B:$B,"")</f>
        <v>稀有经典车</v>
      </c>
      <c r="N519" s="6" t="s">
        <v>102</v>
      </c>
    </row>
    <row r="520" ht="33" spans="1:14">
      <c r="A520" s="8" t="s">
        <v>1690</v>
      </c>
      <c r="B520" s="9">
        <v>67</v>
      </c>
      <c r="C520" s="9">
        <v>48</v>
      </c>
      <c r="D520" s="9" t="s">
        <v>1613</v>
      </c>
      <c r="E520" s="9">
        <v>30</v>
      </c>
      <c r="F520" s="9" t="s">
        <v>1691</v>
      </c>
      <c r="G520" s="10" t="s">
        <v>473</v>
      </c>
      <c r="H520" s="8" t="s">
        <v>124</v>
      </c>
      <c r="I520" s="12">
        <v>1250000</v>
      </c>
      <c r="J520" s="18" t="s">
        <v>290</v>
      </c>
      <c r="K520" s="9" t="s">
        <v>125</v>
      </c>
      <c r="L520" s="9" t="s">
        <v>611</v>
      </c>
      <c r="M520" s="5" t="str">
        <f>_xlfn.XLOOKUP(N520,enums!$C:$C,enums!$B:$B,"")</f>
        <v>极限赛道玩具</v>
      </c>
      <c r="N520" s="6" t="s">
        <v>127</v>
      </c>
    </row>
    <row r="521" ht="49.5" spans="1:14">
      <c r="A521" s="8" t="s">
        <v>1692</v>
      </c>
      <c r="B521" s="9">
        <v>67</v>
      </c>
      <c r="C521" s="9">
        <v>48</v>
      </c>
      <c r="D521" s="9" t="s">
        <v>1613</v>
      </c>
      <c r="E521" s="9">
        <v>31</v>
      </c>
      <c r="F521" s="9" t="s">
        <v>1693</v>
      </c>
      <c r="G521" s="10" t="s">
        <v>473</v>
      </c>
      <c r="H521" s="8" t="s">
        <v>1694</v>
      </c>
      <c r="I521" s="12">
        <v>1000000</v>
      </c>
      <c r="J521" s="16" t="s">
        <v>91</v>
      </c>
      <c r="K521" s="9" t="s">
        <v>125</v>
      </c>
      <c r="L521" s="9" t="s">
        <v>1695</v>
      </c>
      <c r="M521" s="5" t="str">
        <f>_xlfn.XLOOKUP(N521,enums!$C:$C,enums!$B:$B,"")</f>
        <v>经典赛车</v>
      </c>
      <c r="N521" s="6" t="s">
        <v>93</v>
      </c>
    </row>
    <row r="522" spans="1:14">
      <c r="A522" s="8" t="s">
        <v>1696</v>
      </c>
      <c r="B522" s="9">
        <v>68</v>
      </c>
      <c r="C522" s="9">
        <v>31</v>
      </c>
      <c r="D522" s="9" t="s">
        <v>1697</v>
      </c>
      <c r="E522" s="9">
        <v>1</v>
      </c>
      <c r="F522" s="9" t="s">
        <v>1698</v>
      </c>
      <c r="G522" s="10" t="s">
        <v>114</v>
      </c>
      <c r="H522" s="8" t="s">
        <v>26</v>
      </c>
      <c r="I522" s="12">
        <v>147000</v>
      </c>
      <c r="J522" s="15" t="s">
        <v>46</v>
      </c>
      <c r="K522" s="9" t="s">
        <v>132</v>
      </c>
      <c r="L522" s="9" t="s">
        <v>1699</v>
      </c>
      <c r="M522" s="5" t="str">
        <f>_xlfn.XLOOKUP(N522,enums!$C:$C,enums!$B:$B,"")</f>
        <v>极限赛道玩具</v>
      </c>
      <c r="N522" s="6" t="s">
        <v>127</v>
      </c>
    </row>
    <row r="523" spans="1:14">
      <c r="A523" s="8" t="s">
        <v>1700</v>
      </c>
      <c r="B523" s="9">
        <v>69</v>
      </c>
      <c r="C523" s="9">
        <v>32</v>
      </c>
      <c r="D523" s="9" t="s">
        <v>1701</v>
      </c>
      <c r="E523" s="9">
        <v>1</v>
      </c>
      <c r="F523" s="9" t="s">
        <v>1702</v>
      </c>
      <c r="G523" s="10" t="s">
        <v>285</v>
      </c>
      <c r="H523" s="8" t="s">
        <v>1418</v>
      </c>
      <c r="I523" s="12">
        <v>100000</v>
      </c>
      <c r="J523" s="13" t="s">
        <v>19</v>
      </c>
      <c r="K523" s="9" t="s">
        <v>40</v>
      </c>
      <c r="L523" s="9" t="s">
        <v>939</v>
      </c>
      <c r="M523" s="5" t="str">
        <f>_xlfn.XLOOKUP(N523,enums!$C:$C,enums!$B:$B,"")</f>
        <v>皮卡和四轮驱动车</v>
      </c>
      <c r="N523" s="6" t="s">
        <v>430</v>
      </c>
    </row>
    <row r="524" spans="1:14">
      <c r="A524" s="8" t="s">
        <v>1703</v>
      </c>
      <c r="B524" s="9">
        <v>70</v>
      </c>
      <c r="C524" s="9">
        <v>33</v>
      </c>
      <c r="D524" s="9" t="s">
        <v>1704</v>
      </c>
      <c r="E524" s="9">
        <v>1</v>
      </c>
      <c r="F524" s="9" t="s">
        <v>1705</v>
      </c>
      <c r="G524" s="10" t="s">
        <v>469</v>
      </c>
      <c r="H524" s="8" t="s">
        <v>26</v>
      </c>
      <c r="I524" s="12">
        <v>39000</v>
      </c>
      <c r="J524" s="13" t="s">
        <v>19</v>
      </c>
      <c r="K524" s="9" t="s">
        <v>132</v>
      </c>
      <c r="L524" s="9" t="s">
        <v>32</v>
      </c>
      <c r="M524" s="5" t="str">
        <f>_xlfn.XLOOKUP(N524,enums!$C:$C,enums!$B:$B,"")</f>
        <v>多功能英雄车</v>
      </c>
      <c r="N524" s="6" t="s">
        <v>478</v>
      </c>
    </row>
    <row r="525" ht="33" spans="1:14">
      <c r="A525" s="8" t="s">
        <v>1706</v>
      </c>
      <c r="B525" s="9">
        <v>71</v>
      </c>
      <c r="C525" s="9">
        <v>66</v>
      </c>
      <c r="D525" s="9" t="s">
        <v>1707</v>
      </c>
      <c r="E525" s="9">
        <v>1</v>
      </c>
      <c r="F525" s="9" t="s">
        <v>1708</v>
      </c>
      <c r="G525" s="10" t="s">
        <v>198</v>
      </c>
      <c r="H525" s="8" t="s">
        <v>26</v>
      </c>
      <c r="I525" s="12">
        <v>32000</v>
      </c>
      <c r="J525" s="14" t="s">
        <v>39</v>
      </c>
      <c r="K525" s="9" t="s">
        <v>1581</v>
      </c>
      <c r="L525" s="9" t="s">
        <v>565</v>
      </c>
      <c r="M525" s="5" t="str">
        <f>_xlfn.XLOOKUP(N525,enums!$C:$C,enums!$B:$B,"")</f>
        <v>超高性能掀背车</v>
      </c>
      <c r="N525" s="6" t="s">
        <v>226</v>
      </c>
    </row>
    <row r="526" ht="33" spans="1:14">
      <c r="A526" s="8" t="s">
        <v>1709</v>
      </c>
      <c r="B526" s="9">
        <v>71</v>
      </c>
      <c r="C526" s="9">
        <v>66</v>
      </c>
      <c r="D526" s="9" t="s">
        <v>1707</v>
      </c>
      <c r="E526" s="9">
        <v>2</v>
      </c>
      <c r="F526" s="9" t="s">
        <v>1710</v>
      </c>
      <c r="G526" s="10" t="s">
        <v>229</v>
      </c>
      <c r="H526" s="8" t="s">
        <v>26</v>
      </c>
      <c r="I526" s="12">
        <v>14000</v>
      </c>
      <c r="J526" s="13" t="s">
        <v>19</v>
      </c>
      <c r="K526" s="9" t="s">
        <v>1581</v>
      </c>
      <c r="L526" s="9" t="s">
        <v>1711</v>
      </c>
      <c r="M526" s="5" t="str">
        <f>_xlfn.XLOOKUP(N526,enums!$C:$C,enums!$B:$B,"")</f>
        <v>超高性能掀背车</v>
      </c>
      <c r="N526" s="6" t="s">
        <v>226</v>
      </c>
    </row>
    <row r="527" ht="33" spans="1:14">
      <c r="A527" s="8" t="s">
        <v>1712</v>
      </c>
      <c r="B527" s="9">
        <v>71</v>
      </c>
      <c r="C527" s="9">
        <v>66</v>
      </c>
      <c r="D527" s="9" t="s">
        <v>1707</v>
      </c>
      <c r="E527" s="9">
        <v>3</v>
      </c>
      <c r="F527" s="9" t="s">
        <v>1713</v>
      </c>
      <c r="G527" s="10" t="s">
        <v>341</v>
      </c>
      <c r="H527" s="8" t="s">
        <v>26</v>
      </c>
      <c r="I527" s="12">
        <v>58000</v>
      </c>
      <c r="J527" s="14" t="s">
        <v>39</v>
      </c>
      <c r="K527" s="9" t="s">
        <v>1581</v>
      </c>
      <c r="L527" s="9" t="s">
        <v>1714</v>
      </c>
      <c r="M527" s="5" t="str">
        <f>_xlfn.XLOOKUP(N527,enums!$C:$C,enums!$B:$B,"")</f>
        <v>高性能掀背车</v>
      </c>
      <c r="N527" s="6" t="s">
        <v>22</v>
      </c>
    </row>
    <row r="528" ht="33" spans="1:14">
      <c r="A528" s="8" t="s">
        <v>1715</v>
      </c>
      <c r="B528" s="9">
        <v>71</v>
      </c>
      <c r="C528" s="9">
        <v>66</v>
      </c>
      <c r="D528" s="9" t="s">
        <v>1707</v>
      </c>
      <c r="E528" s="9">
        <v>4</v>
      </c>
      <c r="F528" s="9" t="s">
        <v>1716</v>
      </c>
      <c r="G528" s="10" t="s">
        <v>265</v>
      </c>
      <c r="H528" s="8" t="s">
        <v>26</v>
      </c>
      <c r="I528" s="12">
        <v>30000</v>
      </c>
      <c r="J528" s="13" t="s">
        <v>19</v>
      </c>
      <c r="K528" s="9" t="s">
        <v>1581</v>
      </c>
      <c r="L528" s="9" t="s">
        <v>1717</v>
      </c>
      <c r="M528" s="5" t="str">
        <f>_xlfn.XLOOKUP(N528,enums!$C:$C,enums!$B:$B,"")</f>
        <v>复古高性能掀背车</v>
      </c>
      <c r="N528" s="6" t="s">
        <v>53</v>
      </c>
    </row>
    <row r="529" ht="33" spans="1:14">
      <c r="A529" s="8" t="s">
        <v>1718</v>
      </c>
      <c r="B529" s="9">
        <v>71</v>
      </c>
      <c r="C529" s="9">
        <v>66</v>
      </c>
      <c r="D529" s="9" t="s">
        <v>1707</v>
      </c>
      <c r="E529" s="9">
        <v>5</v>
      </c>
      <c r="F529" s="9" t="s">
        <v>1719</v>
      </c>
      <c r="G529" s="10" t="s">
        <v>25</v>
      </c>
      <c r="H529" s="8" t="s">
        <v>26</v>
      </c>
      <c r="I529" s="12">
        <v>143000</v>
      </c>
      <c r="J529" s="14" t="s">
        <v>39</v>
      </c>
      <c r="K529" s="9" t="s">
        <v>1581</v>
      </c>
      <c r="L529" s="9" t="s">
        <v>174</v>
      </c>
      <c r="M529" s="5" t="str">
        <f>_xlfn.XLOOKUP(N529,enums!$C:$C,enums!$B:$B,"")</f>
        <v>复古拉力赛车</v>
      </c>
      <c r="N529" s="6" t="s">
        <v>256</v>
      </c>
    </row>
    <row r="530" ht="33" spans="1:14">
      <c r="A530" s="8" t="s">
        <v>1720</v>
      </c>
      <c r="B530" s="9">
        <v>71</v>
      </c>
      <c r="C530" s="9">
        <v>66</v>
      </c>
      <c r="D530" s="9" t="s">
        <v>1707</v>
      </c>
      <c r="E530" s="9">
        <v>6</v>
      </c>
      <c r="F530" s="9" t="s">
        <v>1721</v>
      </c>
      <c r="G530" s="10" t="s">
        <v>492</v>
      </c>
      <c r="H530" s="8" t="s">
        <v>18</v>
      </c>
      <c r="I530" s="12">
        <v>250000</v>
      </c>
      <c r="J530" s="13" t="s">
        <v>19</v>
      </c>
      <c r="K530" s="9" t="s">
        <v>1581</v>
      </c>
      <c r="L530" s="9" t="s">
        <v>1722</v>
      </c>
      <c r="M530" s="5" t="str">
        <f>_xlfn.XLOOKUP(N530,enums!$C:$C,enums!$B:$B,"")</f>
        <v>经典拉力赛车</v>
      </c>
      <c r="N530" s="6" t="s">
        <v>28</v>
      </c>
    </row>
    <row r="531" ht="33" spans="1:14">
      <c r="A531" s="8" t="s">
        <v>1723</v>
      </c>
      <c r="B531" s="9">
        <v>72</v>
      </c>
      <c r="C531" s="9">
        <v>34</v>
      </c>
      <c r="D531" s="9" t="s">
        <v>1724</v>
      </c>
      <c r="E531" s="9">
        <v>1</v>
      </c>
      <c r="F531" s="9" t="s">
        <v>1725</v>
      </c>
      <c r="G531" s="10" t="s">
        <v>61</v>
      </c>
      <c r="H531" s="8" t="s">
        <v>124</v>
      </c>
      <c r="I531" s="12">
        <v>2250000</v>
      </c>
      <c r="J531" s="16" t="s">
        <v>91</v>
      </c>
      <c r="K531" s="9" t="s">
        <v>1726</v>
      </c>
      <c r="L531" s="9" t="s">
        <v>974</v>
      </c>
      <c r="M531" s="5" t="str">
        <f>_xlfn.XLOOKUP(N531,enums!$C:$C,enums!$B:$B,"")</f>
        <v>顶级超跑</v>
      </c>
      <c r="N531" s="6" t="s">
        <v>142</v>
      </c>
    </row>
    <row r="532" spans="1:14">
      <c r="A532" s="8" t="s">
        <v>1727</v>
      </c>
      <c r="B532" s="9">
        <v>73</v>
      </c>
      <c r="C532" s="9">
        <v>35</v>
      </c>
      <c r="D532" s="9" t="s">
        <v>1728</v>
      </c>
      <c r="E532" s="9">
        <v>1</v>
      </c>
      <c r="F532" s="9" t="s">
        <v>1729</v>
      </c>
      <c r="G532" s="10" t="s">
        <v>61</v>
      </c>
      <c r="H532" s="8" t="s">
        <v>26</v>
      </c>
      <c r="I532" s="12">
        <v>56000</v>
      </c>
      <c r="J532" s="15" t="s">
        <v>46</v>
      </c>
      <c r="K532" s="9" t="s">
        <v>40</v>
      </c>
      <c r="L532" s="9" t="s">
        <v>218</v>
      </c>
      <c r="M532" s="5" t="str">
        <f>_xlfn.XLOOKUP(N532,enums!$C:$C,enums!$B:$B,"")</f>
        <v>皮卡和四轮驱动车</v>
      </c>
      <c r="N532" s="17" t="s">
        <v>430</v>
      </c>
    </row>
    <row r="533" ht="33" spans="1:14">
      <c r="A533" s="8" t="s">
        <v>1730</v>
      </c>
      <c r="B533" s="9">
        <v>74</v>
      </c>
      <c r="C533" s="9">
        <v>36</v>
      </c>
      <c r="D533" s="9" t="s">
        <v>1731</v>
      </c>
      <c r="E533" s="9">
        <v>1</v>
      </c>
      <c r="F533" s="9" t="s">
        <v>1732</v>
      </c>
      <c r="G533" s="10" t="s">
        <v>61</v>
      </c>
      <c r="H533" s="8" t="s">
        <v>124</v>
      </c>
      <c r="I533" s="12">
        <v>250000</v>
      </c>
      <c r="J533" s="15" t="s">
        <v>46</v>
      </c>
      <c r="K533" s="9" t="s">
        <v>40</v>
      </c>
      <c r="L533" s="9" t="s">
        <v>182</v>
      </c>
      <c r="M533" s="5" t="str">
        <f>_xlfn.XLOOKUP(N533,enums!$C:$C,enums!$B:$B,"")</f>
        <v>无限制越野车</v>
      </c>
      <c r="N533" s="6" t="s">
        <v>107</v>
      </c>
    </row>
    <row r="534" ht="66" spans="1:14">
      <c r="A534" s="8" t="s">
        <v>1733</v>
      </c>
      <c r="B534" s="9">
        <v>74</v>
      </c>
      <c r="C534" s="9">
        <v>36</v>
      </c>
      <c r="D534" s="9" t="s">
        <v>1731</v>
      </c>
      <c r="E534" s="9">
        <v>2</v>
      </c>
      <c r="F534" s="9" t="s">
        <v>1734</v>
      </c>
      <c r="G534" s="10" t="s">
        <v>17</v>
      </c>
      <c r="H534" s="8" t="s">
        <v>1735</v>
      </c>
      <c r="I534" s="12">
        <v>120000</v>
      </c>
      <c r="J534" s="15" t="s">
        <v>46</v>
      </c>
      <c r="K534" s="9" t="s">
        <v>40</v>
      </c>
      <c r="L534" s="9" t="s">
        <v>1325</v>
      </c>
      <c r="M534" s="5" t="str">
        <f>_xlfn.XLOOKUP(N534,enums!$C:$C,enums!$B:$B,"")</f>
        <v>无限制越野车</v>
      </c>
      <c r="N534" s="6" t="s">
        <v>107</v>
      </c>
    </row>
    <row r="535" ht="33" spans="1:14">
      <c r="A535" s="8" t="s">
        <v>1736</v>
      </c>
      <c r="B535" s="9">
        <v>75</v>
      </c>
      <c r="C535" s="9">
        <v>81</v>
      </c>
      <c r="D535" s="9" t="s">
        <v>1737</v>
      </c>
      <c r="E535" s="9">
        <v>1</v>
      </c>
      <c r="F535" s="9" t="s">
        <v>1738</v>
      </c>
      <c r="G535" s="10" t="s">
        <v>67</v>
      </c>
      <c r="H535" s="8" t="s">
        <v>18</v>
      </c>
      <c r="I535" s="12">
        <v>1000000</v>
      </c>
      <c r="J535" s="15" t="s">
        <v>46</v>
      </c>
      <c r="K535" s="9" t="s">
        <v>40</v>
      </c>
      <c r="L535" s="9" t="s">
        <v>1292</v>
      </c>
      <c r="M535" s="5" t="str">
        <f>_xlfn.XLOOKUP(N535,enums!$C:$C,enums!$B:$B,"")</f>
        <v>极限赛道玩具</v>
      </c>
      <c r="N535" s="6" t="s">
        <v>127</v>
      </c>
    </row>
    <row r="536" spans="1:14">
      <c r="A536" s="8" t="s">
        <v>1739</v>
      </c>
      <c r="B536" s="9">
        <v>76</v>
      </c>
      <c r="C536" s="9">
        <v>37</v>
      </c>
      <c r="D536" s="9" t="s">
        <v>1740</v>
      </c>
      <c r="E536" s="9">
        <v>1</v>
      </c>
      <c r="F536" s="9" t="s">
        <v>1741</v>
      </c>
      <c r="G536" s="10" t="s">
        <v>265</v>
      </c>
      <c r="H536" s="8" t="s">
        <v>18</v>
      </c>
      <c r="I536" s="12">
        <v>1950000</v>
      </c>
      <c r="J536" s="15" t="s">
        <v>46</v>
      </c>
      <c r="K536" s="9" t="s">
        <v>132</v>
      </c>
      <c r="L536" s="9" t="s">
        <v>1331</v>
      </c>
      <c r="M536" s="5" t="str">
        <f>_xlfn.XLOOKUP(N536,enums!$C:$C,enums!$B:$B,"")</f>
        <v>复古超级轿车</v>
      </c>
      <c r="N536" s="6" t="s">
        <v>378</v>
      </c>
    </row>
    <row r="537" ht="49.5" spans="1:14">
      <c r="A537" s="8" t="s">
        <v>1742</v>
      </c>
      <c r="B537" s="9">
        <v>77</v>
      </c>
      <c r="C537" s="9">
        <v>38</v>
      </c>
      <c r="D537" s="9" t="s">
        <v>1743</v>
      </c>
      <c r="E537" s="9">
        <v>1</v>
      </c>
      <c r="F537" s="9" t="s">
        <v>1744</v>
      </c>
      <c r="G537" s="10" t="s">
        <v>96</v>
      </c>
      <c r="H537" s="8" t="s">
        <v>1745</v>
      </c>
      <c r="I537" s="12">
        <v>3000000</v>
      </c>
      <c r="J537" s="16" t="s">
        <v>91</v>
      </c>
      <c r="K537" s="9" t="s">
        <v>40</v>
      </c>
      <c r="L537" s="9" t="s">
        <v>1347</v>
      </c>
      <c r="M537" s="5" t="str">
        <f>_xlfn.XLOOKUP(N537,enums!$C:$C,enums!$B:$B,"")</f>
        <v>稀有经典车</v>
      </c>
      <c r="N537" s="6" t="s">
        <v>102</v>
      </c>
    </row>
    <row r="538" spans="1:14">
      <c r="A538" s="8" t="s">
        <v>1746</v>
      </c>
      <c r="B538" s="9">
        <v>77</v>
      </c>
      <c r="C538" s="9">
        <v>38</v>
      </c>
      <c r="D538" s="9" t="s">
        <v>1743</v>
      </c>
      <c r="E538" s="9">
        <v>2</v>
      </c>
      <c r="F538" s="9" t="s">
        <v>1747</v>
      </c>
      <c r="G538" s="10" t="s">
        <v>96</v>
      </c>
      <c r="H538" s="8" t="s">
        <v>26</v>
      </c>
      <c r="I538" s="12">
        <v>20000000</v>
      </c>
      <c r="J538" s="16" t="s">
        <v>91</v>
      </c>
      <c r="K538" s="9" t="s">
        <v>40</v>
      </c>
      <c r="L538" s="9" t="s">
        <v>1748</v>
      </c>
      <c r="M538" s="5" t="str">
        <f>_xlfn.XLOOKUP(N538,enums!$C:$C,enums!$B:$B,"")</f>
        <v>经典赛车</v>
      </c>
      <c r="N538" s="6" t="s">
        <v>93</v>
      </c>
    </row>
    <row r="539" spans="1:14">
      <c r="A539" s="8" t="s">
        <v>1749</v>
      </c>
      <c r="B539" s="9">
        <v>78</v>
      </c>
      <c r="C539" s="9">
        <v>39</v>
      </c>
      <c r="D539" s="9" t="s">
        <v>1750</v>
      </c>
      <c r="E539" s="9">
        <v>1</v>
      </c>
      <c r="F539" s="9" t="s">
        <v>1751</v>
      </c>
      <c r="G539" s="10" t="s">
        <v>61</v>
      </c>
      <c r="H539" s="8" t="s">
        <v>26</v>
      </c>
      <c r="I539" s="12">
        <v>50000</v>
      </c>
      <c r="J539" s="14" t="s">
        <v>39</v>
      </c>
      <c r="K539" s="9" t="s">
        <v>40</v>
      </c>
      <c r="L539" s="9" t="s">
        <v>78</v>
      </c>
      <c r="M539" s="5" t="str">
        <f>_xlfn.XLOOKUP(N539,enums!$C:$C,enums!$B:$B,"")</f>
        <v>多功能车</v>
      </c>
      <c r="N539" s="6" t="s">
        <v>412</v>
      </c>
    </row>
    <row r="540" spans="1:14">
      <c r="A540" s="8" t="s">
        <v>1752</v>
      </c>
      <c r="B540" s="9">
        <v>78</v>
      </c>
      <c r="C540" s="9">
        <v>39</v>
      </c>
      <c r="D540" s="9" t="s">
        <v>1750</v>
      </c>
      <c r="E540" s="9">
        <v>2</v>
      </c>
      <c r="F540" s="9" t="s">
        <v>1753</v>
      </c>
      <c r="G540" s="10" t="s">
        <v>61</v>
      </c>
      <c r="H540" s="8" t="s">
        <v>26</v>
      </c>
      <c r="I540" s="12">
        <v>75000</v>
      </c>
      <c r="J540" s="14" t="s">
        <v>39</v>
      </c>
      <c r="K540" s="9" t="s">
        <v>40</v>
      </c>
      <c r="L540" s="9" t="s">
        <v>1426</v>
      </c>
      <c r="M540" s="5" t="str">
        <f>_xlfn.XLOOKUP(N540,enums!$C:$C,enums!$B:$B,"")</f>
        <v>多功能车</v>
      </c>
      <c r="N540" s="6" t="s">
        <v>412</v>
      </c>
    </row>
    <row r="541" spans="1:14">
      <c r="A541" s="8" t="s">
        <v>1754</v>
      </c>
      <c r="B541" s="9">
        <v>78</v>
      </c>
      <c r="C541" s="9">
        <v>39</v>
      </c>
      <c r="D541" s="9" t="s">
        <v>1750</v>
      </c>
      <c r="E541" s="9">
        <v>3</v>
      </c>
      <c r="F541" s="9" t="s">
        <v>1755</v>
      </c>
      <c r="G541" s="10" t="s">
        <v>191</v>
      </c>
      <c r="H541" s="8" t="s">
        <v>26</v>
      </c>
      <c r="I541" s="12">
        <v>65000</v>
      </c>
      <c r="J541" s="15" t="s">
        <v>46</v>
      </c>
      <c r="K541" s="9" t="s">
        <v>40</v>
      </c>
      <c r="L541" s="9" t="s">
        <v>1248</v>
      </c>
      <c r="M541" s="5" t="str">
        <f>_xlfn.XLOOKUP(N541,enums!$C:$C,enums!$B:$B,"")</f>
        <v>极限赛道玩具</v>
      </c>
      <c r="N541" s="6" t="s">
        <v>127</v>
      </c>
    </row>
    <row r="542" spans="1:14">
      <c r="A542" s="8" t="s">
        <v>1756</v>
      </c>
      <c r="B542" s="9">
        <v>79</v>
      </c>
      <c r="C542" s="9">
        <v>40</v>
      </c>
      <c r="D542" s="9" t="s">
        <v>1757</v>
      </c>
      <c r="E542" s="9">
        <v>1</v>
      </c>
      <c r="F542" s="9" t="s">
        <v>1758</v>
      </c>
      <c r="G542" s="10" t="s">
        <v>136</v>
      </c>
      <c r="H542" s="8" t="s">
        <v>169</v>
      </c>
      <c r="I542" s="12">
        <v>135000</v>
      </c>
      <c r="J542" s="14" t="s">
        <v>39</v>
      </c>
      <c r="K542" s="9" t="s">
        <v>40</v>
      </c>
      <c r="L542" s="9" t="s">
        <v>533</v>
      </c>
      <c r="M542" s="5" t="str">
        <f>_xlfn.XLOOKUP(N542,enums!$C:$C,enums!$B:$B,"")</f>
        <v>现代肌肉车</v>
      </c>
      <c r="N542" s="6" t="s">
        <v>396</v>
      </c>
    </row>
    <row r="543" ht="33" spans="1:14">
      <c r="A543" s="8" t="s">
        <v>1759</v>
      </c>
      <c r="B543" s="9">
        <v>80</v>
      </c>
      <c r="C543" s="9">
        <v>83</v>
      </c>
      <c r="D543" s="9" t="s">
        <v>1760</v>
      </c>
      <c r="E543" s="9">
        <v>1</v>
      </c>
      <c r="F543" s="9" t="s">
        <v>1761</v>
      </c>
      <c r="G543" s="10" t="s">
        <v>44</v>
      </c>
      <c r="H543" s="8" t="s">
        <v>1762</v>
      </c>
      <c r="I543" s="12">
        <v>500000</v>
      </c>
      <c r="J543" s="18" t="s">
        <v>290</v>
      </c>
      <c r="K543" s="9" t="s">
        <v>266</v>
      </c>
      <c r="L543" s="9" t="s">
        <v>291</v>
      </c>
      <c r="M543" s="5" t="str">
        <f>_xlfn.XLOOKUP(N543,enums!$C:$C,enums!$B:$B,"")</f>
        <v>无限制越野车</v>
      </c>
      <c r="N543" s="6" t="s">
        <v>107</v>
      </c>
    </row>
    <row r="544" ht="33" spans="1:14">
      <c r="A544" s="8" t="s">
        <v>1763</v>
      </c>
      <c r="B544" s="9">
        <v>80</v>
      </c>
      <c r="C544" s="9">
        <v>83</v>
      </c>
      <c r="D544" s="9" t="s">
        <v>1760</v>
      </c>
      <c r="E544" s="9">
        <v>2</v>
      </c>
      <c r="F544" s="9" t="s">
        <v>1764</v>
      </c>
      <c r="G544" s="10" t="s">
        <v>44</v>
      </c>
      <c r="H544" s="8" t="s">
        <v>26</v>
      </c>
      <c r="I544" s="12">
        <v>28000</v>
      </c>
      <c r="J544" s="15" t="s">
        <v>46</v>
      </c>
      <c r="K544" s="9" t="s">
        <v>266</v>
      </c>
      <c r="L544" s="9" t="s">
        <v>773</v>
      </c>
      <c r="M544" s="5" t="str">
        <f>_xlfn.XLOOKUP(N544,enums!$C:$C,enums!$B:$B,"")</f>
        <v>现代跑车</v>
      </c>
      <c r="N544" s="6" t="s">
        <v>74</v>
      </c>
    </row>
    <row r="545" ht="33" spans="1:14">
      <c r="A545" s="8" t="s">
        <v>1765</v>
      </c>
      <c r="B545" s="9">
        <v>80</v>
      </c>
      <c r="C545" s="9">
        <v>83</v>
      </c>
      <c r="D545" s="9" t="s">
        <v>1760</v>
      </c>
      <c r="E545" s="9">
        <v>3</v>
      </c>
      <c r="F545" s="9" t="s">
        <v>1766</v>
      </c>
      <c r="G545" s="10" t="s">
        <v>44</v>
      </c>
      <c r="H545" s="8" t="s">
        <v>26</v>
      </c>
      <c r="I545" s="12">
        <v>25000</v>
      </c>
      <c r="J545" s="15" t="s">
        <v>46</v>
      </c>
      <c r="K545" s="9" t="s">
        <v>266</v>
      </c>
      <c r="L545" s="9" t="s">
        <v>1711</v>
      </c>
      <c r="M545" s="5" t="str">
        <f>_xlfn.XLOOKUP(N545,enums!$C:$C,enums!$B:$B,"")</f>
        <v>现代拉力赛车</v>
      </c>
      <c r="N545" s="6" t="s">
        <v>1403</v>
      </c>
    </row>
    <row r="546" ht="33" spans="1:14">
      <c r="A546" s="8" t="s">
        <v>1767</v>
      </c>
      <c r="B546" s="9">
        <v>80</v>
      </c>
      <c r="C546" s="9">
        <v>83</v>
      </c>
      <c r="D546" s="9" t="s">
        <v>1760</v>
      </c>
      <c r="E546" s="9">
        <v>4</v>
      </c>
      <c r="F546" s="9" t="s">
        <v>1768</v>
      </c>
      <c r="G546" s="10" t="s">
        <v>123</v>
      </c>
      <c r="H546" s="8" t="s">
        <v>18</v>
      </c>
      <c r="I546" s="12">
        <v>250000</v>
      </c>
      <c r="J546" s="13" t="s">
        <v>19</v>
      </c>
      <c r="K546" s="9" t="s">
        <v>266</v>
      </c>
      <c r="L546" s="9" t="s">
        <v>1769</v>
      </c>
      <c r="M546" s="5" t="str">
        <f>_xlfn.XLOOKUP(N546,enums!$C:$C,enums!$B:$B,"")</f>
        <v>现代拉力赛车</v>
      </c>
      <c r="N546" s="6" t="s">
        <v>1403</v>
      </c>
    </row>
    <row r="547" ht="33" spans="1:14">
      <c r="A547" s="8" t="s">
        <v>1770</v>
      </c>
      <c r="B547" s="9">
        <v>80</v>
      </c>
      <c r="C547" s="9">
        <v>83</v>
      </c>
      <c r="D547" s="9" t="s">
        <v>1760</v>
      </c>
      <c r="E547" s="9">
        <v>5</v>
      </c>
      <c r="F547" s="9" t="s">
        <v>1771</v>
      </c>
      <c r="G547" s="10" t="s">
        <v>198</v>
      </c>
      <c r="H547" s="8" t="s">
        <v>1772</v>
      </c>
      <c r="I547" s="12">
        <v>150000</v>
      </c>
      <c r="J547" s="15" t="s">
        <v>46</v>
      </c>
      <c r="K547" s="9" t="s">
        <v>266</v>
      </c>
      <c r="L547" s="9" t="s">
        <v>1617</v>
      </c>
      <c r="M547" s="5" t="str">
        <f>_xlfn.XLOOKUP(N547,enums!$C:$C,enums!$B:$B,"")</f>
        <v>拉力赛怪物</v>
      </c>
      <c r="N547" s="6" t="s">
        <v>251</v>
      </c>
    </row>
    <row r="548" ht="33" spans="1:14">
      <c r="A548" s="8" t="s">
        <v>1773</v>
      </c>
      <c r="B548" s="9">
        <v>80</v>
      </c>
      <c r="C548" s="9">
        <v>83</v>
      </c>
      <c r="D548" s="9" t="s">
        <v>1760</v>
      </c>
      <c r="E548" s="9">
        <v>6</v>
      </c>
      <c r="F548" s="9" t="s">
        <v>1774</v>
      </c>
      <c r="G548" s="10" t="s">
        <v>114</v>
      </c>
      <c r="H548" s="8" t="s">
        <v>26</v>
      </c>
      <c r="I548" s="12">
        <v>27000</v>
      </c>
      <c r="J548" s="13" t="s">
        <v>19</v>
      </c>
      <c r="K548" s="9" t="s">
        <v>266</v>
      </c>
      <c r="L548" s="9" t="s">
        <v>1415</v>
      </c>
      <c r="M548" s="5" t="str">
        <f>_xlfn.XLOOKUP(N548,enums!$C:$C,enums!$B:$B,"")</f>
        <v>现代拉力赛车</v>
      </c>
      <c r="N548" s="6" t="s">
        <v>1403</v>
      </c>
    </row>
    <row r="549" ht="33" spans="1:14">
      <c r="A549" s="8" t="s">
        <v>1775</v>
      </c>
      <c r="B549" s="9">
        <v>80</v>
      </c>
      <c r="C549" s="9">
        <v>83</v>
      </c>
      <c r="D549" s="9" t="s">
        <v>1760</v>
      </c>
      <c r="E549" s="9">
        <v>7</v>
      </c>
      <c r="F549" s="9" t="s">
        <v>1776</v>
      </c>
      <c r="G549" s="10" t="s">
        <v>136</v>
      </c>
      <c r="H549" s="8" t="s">
        <v>38</v>
      </c>
      <c r="I549" s="12">
        <v>25000</v>
      </c>
      <c r="J549" s="13" t="s">
        <v>19</v>
      </c>
      <c r="K549" s="9" t="s">
        <v>266</v>
      </c>
      <c r="L549" s="9" t="s">
        <v>1777</v>
      </c>
      <c r="M549" s="5" t="str">
        <f>_xlfn.XLOOKUP(N549,enums!$C:$C,enums!$B:$B,"")</f>
        <v>现代跑车</v>
      </c>
      <c r="N549" s="6" t="s">
        <v>74</v>
      </c>
    </row>
    <row r="550" ht="33" spans="1:14">
      <c r="A550" s="8" t="s">
        <v>1778</v>
      </c>
      <c r="B550" s="9">
        <v>80</v>
      </c>
      <c r="C550" s="9">
        <v>83</v>
      </c>
      <c r="D550" s="9" t="s">
        <v>1760</v>
      </c>
      <c r="E550" s="9">
        <v>8</v>
      </c>
      <c r="F550" s="9" t="s">
        <v>1779</v>
      </c>
      <c r="G550" s="10" t="s">
        <v>221</v>
      </c>
      <c r="H550" s="8" t="s">
        <v>26</v>
      </c>
      <c r="I550" s="12">
        <v>27000</v>
      </c>
      <c r="J550" s="14" t="s">
        <v>39</v>
      </c>
      <c r="K550" s="9" t="s">
        <v>266</v>
      </c>
      <c r="L550" s="9" t="s">
        <v>565</v>
      </c>
      <c r="M550" s="5" t="str">
        <f>_xlfn.XLOOKUP(N550,enums!$C:$C,enums!$B:$B,"")</f>
        <v>现代拉力赛车</v>
      </c>
      <c r="N550" s="6" t="s">
        <v>1403</v>
      </c>
    </row>
    <row r="551" ht="33" spans="1:14">
      <c r="A551" s="8" t="s">
        <v>1780</v>
      </c>
      <c r="B551" s="9">
        <v>80</v>
      </c>
      <c r="C551" s="9">
        <v>83</v>
      </c>
      <c r="D551" s="9" t="s">
        <v>1760</v>
      </c>
      <c r="E551" s="9">
        <v>9</v>
      </c>
      <c r="F551" s="9" t="s">
        <v>1781</v>
      </c>
      <c r="G551" s="10" t="s">
        <v>341</v>
      </c>
      <c r="H551" s="8" t="s">
        <v>38</v>
      </c>
      <c r="I551" s="12">
        <v>27000</v>
      </c>
      <c r="J551" s="14" t="s">
        <v>39</v>
      </c>
      <c r="K551" s="9" t="s">
        <v>266</v>
      </c>
      <c r="L551" s="9" t="s">
        <v>1676</v>
      </c>
      <c r="M551" s="5" t="str">
        <f>_xlfn.XLOOKUP(N551,enums!$C:$C,enums!$B:$B,"")</f>
        <v>现代拉力赛车</v>
      </c>
      <c r="N551" s="6" t="s">
        <v>1403</v>
      </c>
    </row>
    <row r="552" ht="33" spans="1:14">
      <c r="A552" s="8" t="s">
        <v>1782</v>
      </c>
      <c r="B552" s="9">
        <v>80</v>
      </c>
      <c r="C552" s="9">
        <v>83</v>
      </c>
      <c r="D552" s="9" t="s">
        <v>1760</v>
      </c>
      <c r="E552" s="9">
        <v>10</v>
      </c>
      <c r="F552" s="9" t="s">
        <v>1783</v>
      </c>
      <c r="G552" s="10" t="s">
        <v>348</v>
      </c>
      <c r="H552" s="8" t="s">
        <v>38</v>
      </c>
      <c r="I552" s="12">
        <v>35000</v>
      </c>
      <c r="J552" s="13" t="s">
        <v>19</v>
      </c>
      <c r="K552" s="9" t="s">
        <v>266</v>
      </c>
      <c r="L552" s="9" t="s">
        <v>948</v>
      </c>
      <c r="M552" s="5" t="str">
        <f>_xlfn.XLOOKUP(N552,enums!$C:$C,enums!$B:$B,"")</f>
        <v>现代拉力赛车</v>
      </c>
      <c r="N552" s="6" t="s">
        <v>1403</v>
      </c>
    </row>
    <row r="553" ht="33" spans="1:14">
      <c r="A553" s="8" t="s">
        <v>1784</v>
      </c>
      <c r="B553" s="9">
        <v>80</v>
      </c>
      <c r="C553" s="9">
        <v>83</v>
      </c>
      <c r="D553" s="9" t="s">
        <v>1760</v>
      </c>
      <c r="E553" s="9">
        <v>11</v>
      </c>
      <c r="F553" s="9" t="s">
        <v>1785</v>
      </c>
      <c r="G553" s="10" t="s">
        <v>348</v>
      </c>
      <c r="H553" s="8" t="s">
        <v>26</v>
      </c>
      <c r="I553" s="12">
        <v>10000</v>
      </c>
      <c r="J553" s="13" t="s">
        <v>19</v>
      </c>
      <c r="K553" s="9" t="s">
        <v>266</v>
      </c>
      <c r="L553" s="9" t="s">
        <v>356</v>
      </c>
      <c r="M553" s="5" t="str">
        <f>_xlfn.XLOOKUP(N553,enums!$C:$C,enums!$B:$B,"")</f>
        <v>复古超级跑车</v>
      </c>
      <c r="N553" s="6" t="s">
        <v>84</v>
      </c>
    </row>
    <row r="554" ht="33" spans="1:14">
      <c r="A554" s="8" t="s">
        <v>1786</v>
      </c>
      <c r="B554" s="9">
        <v>80</v>
      </c>
      <c r="C554" s="9">
        <v>83</v>
      </c>
      <c r="D554" s="9" t="s">
        <v>1760</v>
      </c>
      <c r="E554" s="9">
        <v>12</v>
      </c>
      <c r="F554" s="9" t="s">
        <v>1787</v>
      </c>
      <c r="G554" s="10" t="s">
        <v>951</v>
      </c>
      <c r="H554" s="8" t="s">
        <v>38</v>
      </c>
      <c r="I554" s="12">
        <v>30000</v>
      </c>
      <c r="J554" s="13" t="s">
        <v>19</v>
      </c>
      <c r="K554" s="9" t="s">
        <v>266</v>
      </c>
      <c r="L554" s="9" t="s">
        <v>1788</v>
      </c>
      <c r="M554" s="5" t="str">
        <f>_xlfn.XLOOKUP(N554,enums!$C:$C,enums!$B:$B,"")</f>
        <v>现代拉力赛车</v>
      </c>
      <c r="N554" s="6" t="s">
        <v>1403</v>
      </c>
    </row>
    <row r="555" ht="33" spans="1:14">
      <c r="A555" s="8" t="s">
        <v>1789</v>
      </c>
      <c r="B555" s="9">
        <v>80</v>
      </c>
      <c r="C555" s="9">
        <v>83</v>
      </c>
      <c r="D555" s="9" t="s">
        <v>1760</v>
      </c>
      <c r="E555" s="9">
        <v>13</v>
      </c>
      <c r="F555" s="9" t="s">
        <v>1790</v>
      </c>
      <c r="G555" s="10" t="s">
        <v>1358</v>
      </c>
      <c r="H555" s="8" t="s">
        <v>26</v>
      </c>
      <c r="I555" s="12">
        <v>86000</v>
      </c>
      <c r="J555" s="16" t="s">
        <v>91</v>
      </c>
      <c r="K555" s="9" t="s">
        <v>266</v>
      </c>
      <c r="L555" s="9" t="s">
        <v>708</v>
      </c>
      <c r="M555" s="5" t="str">
        <f>_xlfn.XLOOKUP(N555,enums!$C:$C,enums!$B:$B,"")</f>
        <v>复古拉力赛车</v>
      </c>
      <c r="N555" s="6" t="s">
        <v>256</v>
      </c>
    </row>
    <row r="556" ht="33" spans="1:14">
      <c r="A556" s="8" t="s">
        <v>1791</v>
      </c>
      <c r="B556" s="9">
        <v>80</v>
      </c>
      <c r="C556" s="9">
        <v>83</v>
      </c>
      <c r="D556" s="9" t="s">
        <v>1760</v>
      </c>
      <c r="E556" s="9">
        <v>14</v>
      </c>
      <c r="F556" s="9" t="s">
        <v>1792</v>
      </c>
      <c r="G556" s="10" t="s">
        <v>454</v>
      </c>
      <c r="H556" s="8" t="s">
        <v>38</v>
      </c>
      <c r="I556" s="12">
        <v>13000</v>
      </c>
      <c r="J556" s="13" t="s">
        <v>19</v>
      </c>
      <c r="K556" s="9" t="s">
        <v>266</v>
      </c>
      <c r="L556" s="9" t="s">
        <v>1793</v>
      </c>
      <c r="M556" s="5" t="str">
        <f>_xlfn.XLOOKUP(N556,enums!$C:$C,enums!$B:$B,"")</f>
        <v>复古跑车</v>
      </c>
      <c r="N556" s="6" t="s">
        <v>364</v>
      </c>
    </row>
    <row r="557" ht="66" spans="1:14">
      <c r="A557" s="8" t="s">
        <v>1794</v>
      </c>
      <c r="B557" s="9">
        <v>80</v>
      </c>
      <c r="C557" s="9">
        <v>83</v>
      </c>
      <c r="D557" s="9" t="s">
        <v>1760</v>
      </c>
      <c r="E557" s="9">
        <v>15</v>
      </c>
      <c r="F557" s="9" t="s">
        <v>1795</v>
      </c>
      <c r="G557" s="10" t="s">
        <v>667</v>
      </c>
      <c r="H557" s="8" t="s">
        <v>1796</v>
      </c>
      <c r="I557" s="12">
        <v>750000</v>
      </c>
      <c r="J557" s="18" t="s">
        <v>290</v>
      </c>
      <c r="K557" s="9" t="s">
        <v>266</v>
      </c>
      <c r="L557" s="9" t="s">
        <v>656</v>
      </c>
      <c r="M557" s="5" t="str">
        <f>_xlfn.XLOOKUP(N557,enums!$C:$C,enums!$B:$B,"")</f>
        <v>极限赛道玩具</v>
      </c>
      <c r="N557" s="6" t="s">
        <v>127</v>
      </c>
    </row>
    <row r="558" ht="33" spans="1:14">
      <c r="A558" s="8" t="s">
        <v>1797</v>
      </c>
      <c r="B558" s="9">
        <v>80</v>
      </c>
      <c r="C558" s="9">
        <v>83</v>
      </c>
      <c r="D558" s="9" t="s">
        <v>1760</v>
      </c>
      <c r="E558" s="9">
        <v>16</v>
      </c>
      <c r="F558" s="9" t="s">
        <v>1798</v>
      </c>
      <c r="G558" s="10" t="s">
        <v>667</v>
      </c>
      <c r="H558" s="8" t="s">
        <v>26</v>
      </c>
      <c r="I558" s="12">
        <v>10000</v>
      </c>
      <c r="J558" s="15" t="s">
        <v>46</v>
      </c>
      <c r="K558" s="9" t="s">
        <v>266</v>
      </c>
      <c r="L558" s="9" t="s">
        <v>1799</v>
      </c>
      <c r="M558" s="5" t="str">
        <f>_xlfn.XLOOKUP(N558,enums!$C:$C,enums!$B:$B,"")</f>
        <v>家庭多用</v>
      </c>
      <c r="N558" s="6" t="s">
        <v>268</v>
      </c>
    </row>
    <row r="559" ht="33" spans="1:14">
      <c r="A559" s="8" t="s">
        <v>1800</v>
      </c>
      <c r="B559" s="9">
        <v>80</v>
      </c>
      <c r="C559" s="9">
        <v>83</v>
      </c>
      <c r="D559" s="9" t="s">
        <v>1760</v>
      </c>
      <c r="E559" s="9">
        <v>17</v>
      </c>
      <c r="F559" s="9" t="s">
        <v>1801</v>
      </c>
      <c r="G559" s="10" t="s">
        <v>87</v>
      </c>
      <c r="H559" s="8" t="s">
        <v>38</v>
      </c>
      <c r="I559" s="12">
        <v>15000</v>
      </c>
      <c r="J559" s="13" t="s">
        <v>19</v>
      </c>
      <c r="K559" s="9" t="s">
        <v>266</v>
      </c>
      <c r="L559" s="9" t="s">
        <v>1802</v>
      </c>
      <c r="M559" s="5" t="str">
        <f>_xlfn.XLOOKUP(N559,enums!$C:$C,enums!$B:$B,"")</f>
        <v>复古拉力赛车</v>
      </c>
      <c r="N559" s="6" t="s">
        <v>256</v>
      </c>
    </row>
    <row r="560" ht="33" spans="1:14">
      <c r="A560" s="8" t="s">
        <v>1803</v>
      </c>
      <c r="B560" s="9">
        <v>80</v>
      </c>
      <c r="C560" s="9">
        <v>83</v>
      </c>
      <c r="D560" s="9" t="s">
        <v>1760</v>
      </c>
      <c r="E560" s="9">
        <v>18</v>
      </c>
      <c r="F560" s="9" t="s">
        <v>1804</v>
      </c>
      <c r="G560" s="10" t="s">
        <v>25</v>
      </c>
      <c r="H560" s="8" t="s">
        <v>26</v>
      </c>
      <c r="I560" s="12">
        <v>20000</v>
      </c>
      <c r="J560" s="13" t="s">
        <v>19</v>
      </c>
      <c r="K560" s="9" t="s">
        <v>266</v>
      </c>
      <c r="L560" s="9" t="s">
        <v>1805</v>
      </c>
      <c r="M560" s="5" t="str">
        <f>_xlfn.XLOOKUP(N560,enums!$C:$C,enums!$B:$B,"")</f>
        <v>多功能英雄车</v>
      </c>
      <c r="N560" s="6" t="s">
        <v>478</v>
      </c>
    </row>
    <row r="561" ht="33" spans="1:14">
      <c r="A561" s="8" t="s">
        <v>1806</v>
      </c>
      <c r="B561" s="9">
        <v>81</v>
      </c>
      <c r="C561" s="9">
        <v>58</v>
      </c>
      <c r="D561" s="9" t="s">
        <v>1807</v>
      </c>
      <c r="E561" s="9">
        <v>1</v>
      </c>
      <c r="F561" s="9" t="s">
        <v>1808</v>
      </c>
      <c r="G561" s="10" t="s">
        <v>590</v>
      </c>
      <c r="H561" s="8" t="s">
        <v>26</v>
      </c>
      <c r="I561" s="12">
        <v>70000</v>
      </c>
      <c r="J561" s="14" t="s">
        <v>39</v>
      </c>
      <c r="K561" s="9" t="s">
        <v>266</v>
      </c>
      <c r="L561" s="9" t="s">
        <v>800</v>
      </c>
      <c r="M561" s="5" t="str">
        <f>_xlfn.XLOOKUP(N561,enums!$C:$C,enums!$B:$B,"")</f>
        <v>运动型多功能英雄车</v>
      </c>
      <c r="N561" s="6" t="s">
        <v>150</v>
      </c>
    </row>
    <row r="562" ht="33" spans="1:14">
      <c r="A562" s="8" t="s">
        <v>1809</v>
      </c>
      <c r="B562" s="9">
        <v>81</v>
      </c>
      <c r="C562" s="9">
        <v>58</v>
      </c>
      <c r="D562" s="9" t="s">
        <v>1807</v>
      </c>
      <c r="E562" s="9">
        <v>2</v>
      </c>
      <c r="F562" s="9" t="s">
        <v>1810</v>
      </c>
      <c r="G562" s="10" t="s">
        <v>37</v>
      </c>
      <c r="H562" s="8" t="s">
        <v>178</v>
      </c>
      <c r="I562" s="12" t="s">
        <v>63</v>
      </c>
      <c r="J562" s="14" t="s">
        <v>39</v>
      </c>
      <c r="K562" s="9" t="s">
        <v>266</v>
      </c>
      <c r="L562" s="9" t="s">
        <v>1811</v>
      </c>
      <c r="M562" s="5" t="str">
        <f>_xlfn.XLOOKUP(N562,enums!$C:$C,enums!$B:$B,"")</f>
        <v>超高性能掀背车</v>
      </c>
      <c r="N562" s="6" t="s">
        <v>226</v>
      </c>
    </row>
    <row r="563" ht="33" spans="1:14">
      <c r="A563" s="8" t="s">
        <v>1812</v>
      </c>
      <c r="B563" s="9">
        <v>81</v>
      </c>
      <c r="C563" s="9">
        <v>58</v>
      </c>
      <c r="D563" s="9" t="s">
        <v>1807</v>
      </c>
      <c r="E563" s="9">
        <v>3</v>
      </c>
      <c r="F563" s="9" t="s">
        <v>1813</v>
      </c>
      <c r="G563" s="10" t="s">
        <v>37</v>
      </c>
      <c r="H563" s="8" t="s">
        <v>72</v>
      </c>
      <c r="I563" s="12">
        <v>31000</v>
      </c>
      <c r="J563" s="15" t="s">
        <v>46</v>
      </c>
      <c r="K563" s="9" t="s">
        <v>266</v>
      </c>
      <c r="L563" s="9" t="s">
        <v>1814</v>
      </c>
      <c r="M563" s="5" t="str">
        <f>_xlfn.XLOOKUP(N563,enums!$C:$C,enums!$B:$B,"")</f>
        <v>现代超级轿车</v>
      </c>
      <c r="N563" s="6" t="s">
        <v>64</v>
      </c>
    </row>
    <row r="564" ht="33" spans="1:14">
      <c r="A564" s="8" t="s">
        <v>1815</v>
      </c>
      <c r="B564" s="9">
        <v>81</v>
      </c>
      <c r="C564" s="9">
        <v>58</v>
      </c>
      <c r="D564" s="9" t="s">
        <v>1807</v>
      </c>
      <c r="E564" s="9">
        <v>4</v>
      </c>
      <c r="F564" s="9" t="s">
        <v>1816</v>
      </c>
      <c r="G564" s="10" t="s">
        <v>44</v>
      </c>
      <c r="H564" s="8" t="s">
        <v>1817</v>
      </c>
      <c r="I564" s="12">
        <v>28000</v>
      </c>
      <c r="J564" s="13" t="s">
        <v>19</v>
      </c>
      <c r="K564" s="9" t="s">
        <v>266</v>
      </c>
      <c r="L564" s="9" t="s">
        <v>243</v>
      </c>
      <c r="M564" s="5" t="str">
        <f>_xlfn.XLOOKUP(N564,enums!$C:$C,enums!$B:$B,"")</f>
        <v>现代跑车</v>
      </c>
      <c r="N564" s="6" t="s">
        <v>74</v>
      </c>
    </row>
    <row r="565" ht="33" spans="1:14">
      <c r="A565" s="8" t="s">
        <v>1818</v>
      </c>
      <c r="B565" s="9">
        <v>81</v>
      </c>
      <c r="C565" s="9">
        <v>58</v>
      </c>
      <c r="D565" s="9" t="s">
        <v>1807</v>
      </c>
      <c r="E565" s="9">
        <v>5</v>
      </c>
      <c r="F565" s="9" t="s">
        <v>1819</v>
      </c>
      <c r="G565" s="10" t="s">
        <v>61</v>
      </c>
      <c r="H565" s="8" t="s">
        <v>38</v>
      </c>
      <c r="I565" s="12">
        <v>54000</v>
      </c>
      <c r="J565" s="15" t="s">
        <v>46</v>
      </c>
      <c r="K565" s="9" t="s">
        <v>266</v>
      </c>
      <c r="L565" s="9" t="s">
        <v>1820</v>
      </c>
      <c r="M565" s="5" t="str">
        <f>_xlfn.XLOOKUP(N565,enums!$C:$C,enums!$B:$B,"")</f>
        <v>现代拉力赛车</v>
      </c>
      <c r="N565" s="6" t="s">
        <v>1403</v>
      </c>
    </row>
    <row r="566" ht="49.5" spans="1:14">
      <c r="A566" s="8" t="s">
        <v>1821</v>
      </c>
      <c r="B566" s="9">
        <v>81</v>
      </c>
      <c r="C566" s="9">
        <v>58</v>
      </c>
      <c r="D566" s="9" t="s">
        <v>1807</v>
      </c>
      <c r="E566" s="9">
        <v>6</v>
      </c>
      <c r="F566" s="9" t="s">
        <v>1822</v>
      </c>
      <c r="G566" s="10" t="s">
        <v>191</v>
      </c>
      <c r="H566" s="8" t="s">
        <v>1823</v>
      </c>
      <c r="I566" s="12">
        <v>45000</v>
      </c>
      <c r="J566" s="14" t="s">
        <v>39</v>
      </c>
      <c r="K566" s="9" t="s">
        <v>266</v>
      </c>
      <c r="L566" s="9" t="s">
        <v>1824</v>
      </c>
      <c r="M566" s="5" t="str">
        <f>_xlfn.XLOOKUP(N566,enums!$C:$C,enums!$B:$B,"")</f>
        <v>现代跑车</v>
      </c>
      <c r="N566" s="6" t="s">
        <v>74</v>
      </c>
    </row>
    <row r="567" ht="33" spans="1:14">
      <c r="A567" s="8" t="s">
        <v>1825</v>
      </c>
      <c r="B567" s="9">
        <v>81</v>
      </c>
      <c r="C567" s="9">
        <v>58</v>
      </c>
      <c r="D567" s="9" t="s">
        <v>1807</v>
      </c>
      <c r="E567" s="9">
        <v>7</v>
      </c>
      <c r="F567" s="9" t="s">
        <v>1826</v>
      </c>
      <c r="G567" s="10" t="s">
        <v>123</v>
      </c>
      <c r="H567" s="8" t="s">
        <v>569</v>
      </c>
      <c r="I567" s="12">
        <v>500000</v>
      </c>
      <c r="J567" s="18" t="s">
        <v>290</v>
      </c>
      <c r="K567" s="9" t="s">
        <v>266</v>
      </c>
      <c r="L567" s="9" t="s">
        <v>611</v>
      </c>
      <c r="M567" s="5" t="str">
        <f>_xlfn.XLOOKUP(N567,enums!$C:$C,enums!$B:$B,"")</f>
        <v>极限赛道玩具</v>
      </c>
      <c r="N567" s="6" t="s">
        <v>127</v>
      </c>
    </row>
    <row r="568" ht="33" spans="1:14">
      <c r="A568" s="8" t="s">
        <v>1827</v>
      </c>
      <c r="B568" s="9">
        <v>81</v>
      </c>
      <c r="C568" s="9">
        <v>58</v>
      </c>
      <c r="D568" s="9" t="s">
        <v>1807</v>
      </c>
      <c r="E568" s="9">
        <v>8</v>
      </c>
      <c r="F568" s="9" t="s">
        <v>1828</v>
      </c>
      <c r="G568" s="10" t="s">
        <v>123</v>
      </c>
      <c r="H568" s="8" t="s">
        <v>26</v>
      </c>
      <c r="I568" s="12">
        <v>42000</v>
      </c>
      <c r="J568" s="14" t="s">
        <v>39</v>
      </c>
      <c r="K568" s="9" t="s">
        <v>266</v>
      </c>
      <c r="L568" s="9" t="s">
        <v>1829</v>
      </c>
      <c r="M568" s="5" t="str">
        <f>_xlfn.XLOOKUP(N568,enums!$C:$C,enums!$B:$B,"")</f>
        <v>皮卡和四轮驱动车</v>
      </c>
      <c r="N568" s="6" t="s">
        <v>430</v>
      </c>
    </row>
    <row r="569" ht="33" spans="1:14">
      <c r="A569" s="8" t="s">
        <v>1830</v>
      </c>
      <c r="B569" s="9">
        <v>81</v>
      </c>
      <c r="C569" s="9">
        <v>58</v>
      </c>
      <c r="D569" s="9" t="s">
        <v>1807</v>
      </c>
      <c r="E569" s="9">
        <v>9</v>
      </c>
      <c r="F569" s="9" t="s">
        <v>1831</v>
      </c>
      <c r="G569" s="10" t="s">
        <v>123</v>
      </c>
      <c r="H569" s="8" t="s">
        <v>26</v>
      </c>
      <c r="I569" s="12">
        <v>34000</v>
      </c>
      <c r="J569" s="14" t="s">
        <v>39</v>
      </c>
      <c r="K569" s="9" t="s">
        <v>266</v>
      </c>
      <c r="L569" s="9" t="s">
        <v>1832</v>
      </c>
      <c r="M569" s="5" t="str">
        <f>_xlfn.XLOOKUP(N569,enums!$C:$C,enums!$B:$B,"")</f>
        <v>皮卡和四轮驱动车</v>
      </c>
      <c r="N569" s="6" t="s">
        <v>430</v>
      </c>
    </row>
    <row r="570" ht="33" spans="1:14">
      <c r="A570" s="8" t="s">
        <v>1833</v>
      </c>
      <c r="B570" s="9">
        <v>81</v>
      </c>
      <c r="C570" s="9">
        <v>58</v>
      </c>
      <c r="D570" s="9" t="s">
        <v>1807</v>
      </c>
      <c r="E570" s="9">
        <v>10</v>
      </c>
      <c r="F570" s="9" t="s">
        <v>1834</v>
      </c>
      <c r="G570" s="10" t="s">
        <v>67</v>
      </c>
      <c r="H570" s="8" t="s">
        <v>26</v>
      </c>
      <c r="I570" s="12">
        <v>25000</v>
      </c>
      <c r="J570" s="13" t="s">
        <v>19</v>
      </c>
      <c r="K570" s="9" t="s">
        <v>266</v>
      </c>
      <c r="L570" s="9" t="s">
        <v>1835</v>
      </c>
      <c r="M570" s="5" t="str">
        <f>_xlfn.XLOOKUP(N570,enums!$C:$C,enums!$B:$B,"")</f>
        <v>家庭多用</v>
      </c>
      <c r="N570" s="6" t="s">
        <v>268</v>
      </c>
    </row>
    <row r="571" ht="33" spans="1:14">
      <c r="A571" s="8" t="s">
        <v>1836</v>
      </c>
      <c r="B571" s="9">
        <v>81</v>
      </c>
      <c r="C571" s="9">
        <v>58</v>
      </c>
      <c r="D571" s="9" t="s">
        <v>1807</v>
      </c>
      <c r="E571" s="9">
        <v>11</v>
      </c>
      <c r="F571" s="9" t="s">
        <v>1837</v>
      </c>
      <c r="G571" s="10" t="s">
        <v>17</v>
      </c>
      <c r="H571" s="8" t="s">
        <v>18</v>
      </c>
      <c r="I571" s="12">
        <v>250000</v>
      </c>
      <c r="J571" s="14" t="s">
        <v>39</v>
      </c>
      <c r="K571" s="9" t="s">
        <v>266</v>
      </c>
      <c r="L571" s="9" t="s">
        <v>1838</v>
      </c>
      <c r="M571" s="5" t="str">
        <f>_xlfn.XLOOKUP(N571,enums!$C:$C,enums!$B:$B,"")</f>
        <v>皮卡和四轮驱动车</v>
      </c>
      <c r="N571" s="6" t="s">
        <v>430</v>
      </c>
    </row>
    <row r="572" ht="49.5" spans="1:14">
      <c r="A572" s="8" t="s">
        <v>1839</v>
      </c>
      <c r="B572" s="9">
        <v>81</v>
      </c>
      <c r="C572" s="9">
        <v>58</v>
      </c>
      <c r="D572" s="9" t="s">
        <v>1807</v>
      </c>
      <c r="E572" s="9">
        <v>12</v>
      </c>
      <c r="F572" s="9" t="s">
        <v>1840</v>
      </c>
      <c r="G572" s="10" t="s">
        <v>136</v>
      </c>
      <c r="H572" s="8" t="s">
        <v>1841</v>
      </c>
      <c r="I572" s="12">
        <v>250000</v>
      </c>
      <c r="J572" s="16" t="s">
        <v>91</v>
      </c>
      <c r="K572" s="9" t="s">
        <v>266</v>
      </c>
      <c r="L572" s="9" t="s">
        <v>1140</v>
      </c>
      <c r="M572" s="5" t="str">
        <f>_xlfn.XLOOKUP(N572,enums!$C:$C,enums!$B:$B,"")</f>
        <v>赛道玩具</v>
      </c>
      <c r="N572" s="17" t="s">
        <v>273</v>
      </c>
    </row>
    <row r="573" ht="33" spans="1:14">
      <c r="A573" s="8" t="s">
        <v>1842</v>
      </c>
      <c r="B573" s="9">
        <v>81</v>
      </c>
      <c r="C573" s="9">
        <v>58</v>
      </c>
      <c r="D573" s="9" t="s">
        <v>1807</v>
      </c>
      <c r="E573" s="9">
        <v>13</v>
      </c>
      <c r="F573" s="9" t="s">
        <v>1843</v>
      </c>
      <c r="G573" s="10" t="s">
        <v>136</v>
      </c>
      <c r="H573" s="8" t="s">
        <v>26</v>
      </c>
      <c r="I573" s="12">
        <v>15800</v>
      </c>
      <c r="J573" s="14" t="s">
        <v>39</v>
      </c>
      <c r="K573" s="9" t="s">
        <v>266</v>
      </c>
      <c r="L573" s="9" t="s">
        <v>1363</v>
      </c>
      <c r="M573" s="5" t="str">
        <f>_xlfn.XLOOKUP(N573,enums!$C:$C,enums!$B:$B,"")</f>
        <v>现代跑车</v>
      </c>
      <c r="N573" s="6" t="s">
        <v>74</v>
      </c>
    </row>
    <row r="574" ht="33" spans="1:14">
      <c r="A574" s="8" t="s">
        <v>1844</v>
      </c>
      <c r="B574" s="9">
        <v>81</v>
      </c>
      <c r="C574" s="9">
        <v>58</v>
      </c>
      <c r="D574" s="9" t="s">
        <v>1807</v>
      </c>
      <c r="E574" s="9">
        <v>14</v>
      </c>
      <c r="F574" s="9" t="s">
        <v>1845</v>
      </c>
      <c r="G574" s="10" t="s">
        <v>348</v>
      </c>
      <c r="H574" s="8" t="s">
        <v>26</v>
      </c>
      <c r="I574" s="12">
        <v>10000</v>
      </c>
      <c r="J574" s="13" t="s">
        <v>19</v>
      </c>
      <c r="K574" s="9" t="s">
        <v>266</v>
      </c>
      <c r="L574" s="9" t="s">
        <v>1846</v>
      </c>
      <c r="M574" s="5" t="str">
        <f>_xlfn.XLOOKUP(N574,enums!$C:$C,enums!$B:$B,"")</f>
        <v>复古超级跑车</v>
      </c>
      <c r="N574" s="6" t="s">
        <v>84</v>
      </c>
    </row>
    <row r="575" ht="33" spans="1:14">
      <c r="A575" s="8" t="s">
        <v>1847</v>
      </c>
      <c r="B575" s="9">
        <v>81</v>
      </c>
      <c r="C575" s="9">
        <v>58</v>
      </c>
      <c r="D575" s="9" t="s">
        <v>1807</v>
      </c>
      <c r="E575" s="9">
        <v>15</v>
      </c>
      <c r="F575" s="9" t="s">
        <v>1848</v>
      </c>
      <c r="G575" s="10" t="s">
        <v>242</v>
      </c>
      <c r="H575" s="8" t="s">
        <v>26</v>
      </c>
      <c r="I575" s="12">
        <v>12000</v>
      </c>
      <c r="J575" s="14" t="s">
        <v>39</v>
      </c>
      <c r="K575" s="9" t="s">
        <v>266</v>
      </c>
      <c r="L575" s="9" t="s">
        <v>1849</v>
      </c>
      <c r="M575" s="5" t="str">
        <f>_xlfn.XLOOKUP(N575,enums!$C:$C,enums!$B:$B,"")</f>
        <v>复古跑车</v>
      </c>
      <c r="N575" s="6" t="s">
        <v>364</v>
      </c>
    </row>
    <row r="576" ht="33" spans="1:14">
      <c r="A576" s="8" t="s">
        <v>1850</v>
      </c>
      <c r="B576" s="9">
        <v>81</v>
      </c>
      <c r="C576" s="9">
        <v>58</v>
      </c>
      <c r="D576" s="9" t="s">
        <v>1807</v>
      </c>
      <c r="E576" s="9">
        <v>16</v>
      </c>
      <c r="F576" s="9" t="s">
        <v>1851</v>
      </c>
      <c r="G576" s="10" t="s">
        <v>568</v>
      </c>
      <c r="H576" s="8" t="s">
        <v>18</v>
      </c>
      <c r="I576" s="12">
        <v>250000</v>
      </c>
      <c r="J576" s="14" t="s">
        <v>39</v>
      </c>
      <c r="K576" s="9" t="s">
        <v>266</v>
      </c>
      <c r="L576" s="9" t="s">
        <v>1852</v>
      </c>
      <c r="M576" s="5" t="str">
        <f>_xlfn.XLOOKUP(N576,enums!$C:$C,enums!$B:$B,"")</f>
        <v>复古超级跑车</v>
      </c>
      <c r="N576" s="6" t="s">
        <v>84</v>
      </c>
    </row>
    <row r="577" ht="66" spans="1:14">
      <c r="A577" s="8" t="s">
        <v>1853</v>
      </c>
      <c r="B577" s="9">
        <v>81</v>
      </c>
      <c r="C577" s="9">
        <v>58</v>
      </c>
      <c r="D577" s="9" t="s">
        <v>1807</v>
      </c>
      <c r="E577" s="9">
        <v>17</v>
      </c>
      <c r="F577" s="9" t="s">
        <v>1854</v>
      </c>
      <c r="G577" s="10" t="s">
        <v>1358</v>
      </c>
      <c r="H577" s="8" t="s">
        <v>1855</v>
      </c>
      <c r="I577" s="12">
        <v>60000</v>
      </c>
      <c r="J577" s="14" t="s">
        <v>39</v>
      </c>
      <c r="K577" s="9" t="s">
        <v>266</v>
      </c>
      <c r="L577" s="9" t="s">
        <v>255</v>
      </c>
      <c r="M577" s="5" t="str">
        <f>_xlfn.XLOOKUP(N577,enums!$C:$C,enums!$B:$B,"")</f>
        <v>复古跑车</v>
      </c>
      <c r="N577" s="6" t="s">
        <v>364</v>
      </c>
    </row>
    <row r="578" ht="49.5" spans="1:14">
      <c r="A578" s="8" t="s">
        <v>1856</v>
      </c>
      <c r="B578" s="9">
        <v>81</v>
      </c>
      <c r="C578" s="9">
        <v>58</v>
      </c>
      <c r="D578" s="9" t="s">
        <v>1807</v>
      </c>
      <c r="E578" s="9">
        <v>18</v>
      </c>
      <c r="F578" s="9" t="s">
        <v>1857</v>
      </c>
      <c r="G578" s="10" t="s">
        <v>355</v>
      </c>
      <c r="H578" s="8" t="s">
        <v>1858</v>
      </c>
      <c r="I578" s="12">
        <v>15500</v>
      </c>
      <c r="J578" s="14" t="s">
        <v>39</v>
      </c>
      <c r="K578" s="9" t="s">
        <v>266</v>
      </c>
      <c r="L578" s="9" t="s">
        <v>1859</v>
      </c>
      <c r="M578" s="5" t="str">
        <f>_xlfn.XLOOKUP(N578,enums!$C:$C,enums!$B:$B,"")</f>
        <v>复古超级跑车</v>
      </c>
      <c r="N578" s="6" t="s">
        <v>84</v>
      </c>
    </row>
    <row r="579" ht="49.5" spans="1:14">
      <c r="A579" s="8" t="s">
        <v>1860</v>
      </c>
      <c r="B579" s="9">
        <v>81</v>
      </c>
      <c r="C579" s="9">
        <v>58</v>
      </c>
      <c r="D579" s="9" t="s">
        <v>1807</v>
      </c>
      <c r="E579" s="9">
        <v>19</v>
      </c>
      <c r="F579" s="9" t="s">
        <v>1861</v>
      </c>
      <c r="G579" s="10" t="s">
        <v>355</v>
      </c>
      <c r="H579" s="8" t="s">
        <v>1862</v>
      </c>
      <c r="I579" s="12">
        <v>18000</v>
      </c>
      <c r="J579" s="14" t="s">
        <v>39</v>
      </c>
      <c r="K579" s="9" t="s">
        <v>266</v>
      </c>
      <c r="L579" s="9" t="s">
        <v>1863</v>
      </c>
      <c r="M579" s="5" t="str">
        <f>_xlfn.XLOOKUP(N579,enums!$C:$C,enums!$B:$B,"")</f>
        <v>复古跑车</v>
      </c>
      <c r="N579" s="6" t="s">
        <v>364</v>
      </c>
    </row>
    <row r="580" ht="33" spans="1:14">
      <c r="A580" s="8" t="s">
        <v>1864</v>
      </c>
      <c r="B580" s="9">
        <v>81</v>
      </c>
      <c r="C580" s="9">
        <v>58</v>
      </c>
      <c r="D580" s="9" t="s">
        <v>1807</v>
      </c>
      <c r="E580" s="9">
        <v>20</v>
      </c>
      <c r="F580" s="9" t="s">
        <v>1865</v>
      </c>
      <c r="G580" s="10" t="s">
        <v>454</v>
      </c>
      <c r="H580" s="8" t="s">
        <v>18</v>
      </c>
      <c r="I580" s="12">
        <v>250000</v>
      </c>
      <c r="J580" s="13" t="s">
        <v>19</v>
      </c>
      <c r="K580" s="9" t="s">
        <v>266</v>
      </c>
      <c r="L580" s="9" t="s">
        <v>890</v>
      </c>
      <c r="M580" s="5" t="str">
        <f>_xlfn.XLOOKUP(N580,enums!$C:$C,enums!$B:$B,"")</f>
        <v>复古高性能掀背车</v>
      </c>
      <c r="N580" s="6" t="s">
        <v>53</v>
      </c>
    </row>
    <row r="581" ht="33" spans="1:14">
      <c r="A581" s="8" t="s">
        <v>1866</v>
      </c>
      <c r="B581" s="9">
        <v>81</v>
      </c>
      <c r="C581" s="9">
        <v>58</v>
      </c>
      <c r="D581" s="9" t="s">
        <v>1807</v>
      </c>
      <c r="E581" s="9">
        <v>21</v>
      </c>
      <c r="F581" s="9" t="s">
        <v>1867</v>
      </c>
      <c r="G581" s="10" t="s">
        <v>359</v>
      </c>
      <c r="H581" s="8" t="s">
        <v>952</v>
      </c>
      <c r="I581" s="12">
        <v>420000</v>
      </c>
      <c r="J581" s="15" t="s">
        <v>46</v>
      </c>
      <c r="K581" s="9" t="s">
        <v>266</v>
      </c>
      <c r="L581" s="9" t="s">
        <v>1868</v>
      </c>
      <c r="M581" s="5" t="str">
        <f>_xlfn.XLOOKUP(N581,enums!$C:$C,enums!$B:$B,"")</f>
        <v>极限赛道玩具</v>
      </c>
      <c r="N581" s="6" t="s">
        <v>127</v>
      </c>
    </row>
    <row r="582" ht="33" spans="1:14">
      <c r="A582" s="8" t="s">
        <v>1869</v>
      </c>
      <c r="B582" s="9">
        <v>81</v>
      </c>
      <c r="C582" s="9">
        <v>58</v>
      </c>
      <c r="D582" s="9" t="s">
        <v>1807</v>
      </c>
      <c r="E582" s="9">
        <v>22</v>
      </c>
      <c r="F582" s="9" t="s">
        <v>1870</v>
      </c>
      <c r="G582" s="10" t="s">
        <v>359</v>
      </c>
      <c r="H582" s="8" t="s">
        <v>26</v>
      </c>
      <c r="I582" s="12">
        <v>28000</v>
      </c>
      <c r="J582" s="14" t="s">
        <v>39</v>
      </c>
      <c r="K582" s="9" t="s">
        <v>266</v>
      </c>
      <c r="L582" s="9" t="s">
        <v>1871</v>
      </c>
      <c r="M582" s="5" t="str">
        <f>_xlfn.XLOOKUP(N582,enums!$C:$C,enums!$B:$B,"")</f>
        <v>复古跑车</v>
      </c>
      <c r="N582" s="6" t="s">
        <v>364</v>
      </c>
    </row>
    <row r="583" ht="33" spans="1:14">
      <c r="A583" s="8" t="s">
        <v>1872</v>
      </c>
      <c r="B583" s="9">
        <v>81</v>
      </c>
      <c r="C583" s="9">
        <v>58</v>
      </c>
      <c r="D583" s="9" t="s">
        <v>1807</v>
      </c>
      <c r="E583" s="9">
        <v>23</v>
      </c>
      <c r="F583" s="9" t="s">
        <v>1873</v>
      </c>
      <c r="G583" s="10" t="s">
        <v>667</v>
      </c>
      <c r="H583" s="8" t="s">
        <v>1874</v>
      </c>
      <c r="I583" s="12">
        <v>27000</v>
      </c>
      <c r="J583" s="13" t="s">
        <v>19</v>
      </c>
      <c r="K583" s="9" t="s">
        <v>266</v>
      </c>
      <c r="L583" s="9" t="s">
        <v>581</v>
      </c>
      <c r="M583" s="5" t="str">
        <f>_xlfn.XLOOKUP(N583,enums!$C:$C,enums!$B:$B,"")</f>
        <v>复古拉力赛车</v>
      </c>
      <c r="N583" s="6" t="s">
        <v>256</v>
      </c>
    </row>
    <row r="584" ht="33" spans="1:14">
      <c r="A584" s="8" t="s">
        <v>1875</v>
      </c>
      <c r="B584" s="9">
        <v>81</v>
      </c>
      <c r="C584" s="9">
        <v>58</v>
      </c>
      <c r="D584" s="9" t="s">
        <v>1807</v>
      </c>
      <c r="E584" s="9">
        <v>24</v>
      </c>
      <c r="F584" s="9" t="s">
        <v>1876</v>
      </c>
      <c r="G584" s="10" t="s">
        <v>265</v>
      </c>
      <c r="H584" s="8" t="s">
        <v>26</v>
      </c>
      <c r="I584" s="12">
        <v>400000</v>
      </c>
      <c r="J584" s="16" t="s">
        <v>91</v>
      </c>
      <c r="K584" s="9" t="s">
        <v>266</v>
      </c>
      <c r="L584" s="9" t="s">
        <v>1877</v>
      </c>
      <c r="M584" s="5" t="str">
        <f>_xlfn.XLOOKUP(N584,enums!$C:$C,enums!$B:$B,"")</f>
        <v>无限制越野车</v>
      </c>
      <c r="N584" s="6" t="s">
        <v>107</v>
      </c>
    </row>
    <row r="585" ht="33" spans="1:14">
      <c r="A585" s="8" t="s">
        <v>1878</v>
      </c>
      <c r="B585" s="9">
        <v>81</v>
      </c>
      <c r="C585" s="9">
        <v>58</v>
      </c>
      <c r="D585" s="9" t="s">
        <v>1807</v>
      </c>
      <c r="E585" s="9">
        <v>25</v>
      </c>
      <c r="F585" s="9" t="s">
        <v>1879</v>
      </c>
      <c r="G585" s="10" t="s">
        <v>82</v>
      </c>
      <c r="H585" s="8" t="s">
        <v>26</v>
      </c>
      <c r="I585" s="12">
        <v>28000</v>
      </c>
      <c r="J585" s="14" t="s">
        <v>39</v>
      </c>
      <c r="K585" s="9" t="s">
        <v>266</v>
      </c>
      <c r="L585" s="9" t="s">
        <v>390</v>
      </c>
      <c r="M585" s="5" t="str">
        <f>_xlfn.XLOOKUP(N585,enums!$C:$C,enums!$B:$B,"")</f>
        <v>复古跑车</v>
      </c>
      <c r="N585" s="6" t="s">
        <v>364</v>
      </c>
    </row>
    <row r="586" ht="33" spans="1:14">
      <c r="A586" s="8" t="s">
        <v>1880</v>
      </c>
      <c r="B586" s="9">
        <v>81</v>
      </c>
      <c r="C586" s="9">
        <v>58</v>
      </c>
      <c r="D586" s="9" t="s">
        <v>1807</v>
      </c>
      <c r="E586" s="9">
        <v>26</v>
      </c>
      <c r="F586" s="9" t="s">
        <v>1881</v>
      </c>
      <c r="G586" s="10" t="s">
        <v>82</v>
      </c>
      <c r="H586" s="8" t="s">
        <v>72</v>
      </c>
      <c r="I586" s="12">
        <v>30000</v>
      </c>
      <c r="J586" s="14" t="s">
        <v>39</v>
      </c>
      <c r="K586" s="9" t="s">
        <v>266</v>
      </c>
      <c r="L586" s="9" t="s">
        <v>1882</v>
      </c>
      <c r="M586" s="5" t="str">
        <f>_xlfn.XLOOKUP(N586,enums!$C:$C,enums!$B:$B,"")</f>
        <v>复古拉力赛车</v>
      </c>
      <c r="N586" s="6" t="s">
        <v>256</v>
      </c>
    </row>
    <row r="587" ht="33" spans="1:14">
      <c r="A587" s="8" t="s">
        <v>1883</v>
      </c>
      <c r="B587" s="9">
        <v>81</v>
      </c>
      <c r="C587" s="9">
        <v>58</v>
      </c>
      <c r="D587" s="9" t="s">
        <v>1807</v>
      </c>
      <c r="E587" s="9">
        <v>27</v>
      </c>
      <c r="F587" s="9" t="s">
        <v>1884</v>
      </c>
      <c r="G587" s="10" t="s">
        <v>893</v>
      </c>
      <c r="H587" s="8" t="s">
        <v>26</v>
      </c>
      <c r="I587" s="12">
        <v>20000</v>
      </c>
      <c r="J587" s="14" t="s">
        <v>39</v>
      </c>
      <c r="K587" s="9" t="s">
        <v>266</v>
      </c>
      <c r="L587" s="9" t="s">
        <v>41</v>
      </c>
      <c r="M587" s="5" t="str">
        <f>_xlfn.XLOOKUP(N587,enums!$C:$C,enums!$B:$B,"")</f>
        <v>复古超级跑车</v>
      </c>
      <c r="N587" s="6" t="s">
        <v>84</v>
      </c>
    </row>
    <row r="588" ht="33" spans="1:14">
      <c r="A588" s="8" t="s">
        <v>1885</v>
      </c>
      <c r="B588" s="9">
        <v>81</v>
      </c>
      <c r="C588" s="9">
        <v>58</v>
      </c>
      <c r="D588" s="9" t="s">
        <v>1807</v>
      </c>
      <c r="E588" s="9">
        <v>28</v>
      </c>
      <c r="F588" s="9" t="s">
        <v>1886</v>
      </c>
      <c r="G588" s="10" t="s">
        <v>893</v>
      </c>
      <c r="H588" s="8" t="s">
        <v>26</v>
      </c>
      <c r="I588" s="12">
        <v>11000</v>
      </c>
      <c r="J588" s="14" t="s">
        <v>39</v>
      </c>
      <c r="K588" s="9" t="s">
        <v>266</v>
      </c>
      <c r="L588" s="9" t="s">
        <v>1887</v>
      </c>
      <c r="M588" s="5" t="str">
        <f>_xlfn.XLOOKUP(N588,enums!$C:$C,enums!$B:$B,"")</f>
        <v>家庭多用</v>
      </c>
      <c r="N588" s="6" t="s">
        <v>268</v>
      </c>
    </row>
    <row r="589" ht="33" spans="1:14">
      <c r="A589" s="8" t="s">
        <v>1888</v>
      </c>
      <c r="B589" s="9">
        <v>81</v>
      </c>
      <c r="C589" s="9">
        <v>58</v>
      </c>
      <c r="D589" s="9" t="s">
        <v>1807</v>
      </c>
      <c r="E589" s="9">
        <v>29</v>
      </c>
      <c r="F589" s="9" t="s">
        <v>1889</v>
      </c>
      <c r="G589" s="10" t="s">
        <v>674</v>
      </c>
      <c r="H589" s="8" t="s">
        <v>18</v>
      </c>
      <c r="I589" s="12">
        <v>250000</v>
      </c>
      <c r="J589" s="14" t="s">
        <v>39</v>
      </c>
      <c r="K589" s="9" t="s">
        <v>266</v>
      </c>
      <c r="L589" s="9" t="s">
        <v>1890</v>
      </c>
      <c r="M589" s="5" t="str">
        <f>_xlfn.XLOOKUP(N589,enums!$C:$C,enums!$B:$B,"")</f>
        <v>复古跑车</v>
      </c>
      <c r="N589" s="6" t="s">
        <v>364</v>
      </c>
    </row>
    <row r="590" ht="49.5" spans="1:14">
      <c r="A590" s="8" t="s">
        <v>1891</v>
      </c>
      <c r="B590" s="9">
        <v>81</v>
      </c>
      <c r="C590" s="9">
        <v>58</v>
      </c>
      <c r="D590" s="9" t="s">
        <v>1807</v>
      </c>
      <c r="E590" s="9">
        <v>30</v>
      </c>
      <c r="F590" s="9" t="s">
        <v>1892</v>
      </c>
      <c r="G590" s="10" t="s">
        <v>813</v>
      </c>
      <c r="H590" s="8" t="s">
        <v>1893</v>
      </c>
      <c r="I590" s="12">
        <v>500000</v>
      </c>
      <c r="J590" s="18" t="s">
        <v>290</v>
      </c>
      <c r="K590" s="9" t="s">
        <v>266</v>
      </c>
      <c r="L590" s="9" t="s">
        <v>708</v>
      </c>
      <c r="M590" s="5" t="str">
        <f>_xlfn.XLOOKUP(N590,enums!$C:$C,enums!$B:$B,"")</f>
        <v>赛道玩具</v>
      </c>
      <c r="N590" s="17" t="s">
        <v>273</v>
      </c>
    </row>
    <row r="591" ht="33" spans="1:14">
      <c r="A591" s="8" t="s">
        <v>1894</v>
      </c>
      <c r="B591" s="9">
        <v>81</v>
      </c>
      <c r="C591" s="9">
        <v>58</v>
      </c>
      <c r="D591" s="9" t="s">
        <v>1807</v>
      </c>
      <c r="E591" s="9">
        <v>31</v>
      </c>
      <c r="F591" s="9" t="s">
        <v>1895</v>
      </c>
      <c r="G591" s="10" t="s">
        <v>813</v>
      </c>
      <c r="H591" s="8" t="s">
        <v>26</v>
      </c>
      <c r="I591" s="12">
        <v>30000</v>
      </c>
      <c r="J591" s="15" t="s">
        <v>46</v>
      </c>
      <c r="K591" s="9" t="s">
        <v>266</v>
      </c>
      <c r="L591" s="9" t="s">
        <v>1896</v>
      </c>
      <c r="M591" s="5" t="str">
        <f>_xlfn.XLOOKUP(N591,enums!$C:$C,enums!$B:$B,"")</f>
        <v>复古跑车</v>
      </c>
      <c r="N591" s="6" t="s">
        <v>364</v>
      </c>
    </row>
    <row r="592" ht="33" spans="1:14">
      <c r="A592" s="8" t="s">
        <v>1897</v>
      </c>
      <c r="B592" s="9">
        <v>81</v>
      </c>
      <c r="C592" s="9">
        <v>58</v>
      </c>
      <c r="D592" s="9" t="s">
        <v>1807</v>
      </c>
      <c r="E592" s="9">
        <v>32</v>
      </c>
      <c r="F592" s="9" t="s">
        <v>1898</v>
      </c>
      <c r="G592" s="10" t="s">
        <v>464</v>
      </c>
      <c r="H592" s="8" t="s">
        <v>26</v>
      </c>
      <c r="I592" s="12">
        <v>103000</v>
      </c>
      <c r="J592" s="13" t="s">
        <v>19</v>
      </c>
      <c r="K592" s="9" t="s">
        <v>266</v>
      </c>
      <c r="L592" s="9" t="s">
        <v>1899</v>
      </c>
      <c r="M592" s="5" t="str">
        <f>_xlfn.XLOOKUP(N592,enums!$C:$C,enums!$B:$B,"")</f>
        <v>皮卡和四轮驱动车</v>
      </c>
      <c r="N592" s="6" t="s">
        <v>430</v>
      </c>
    </row>
    <row r="593" ht="33" spans="1:14">
      <c r="A593" s="8" t="s">
        <v>1900</v>
      </c>
      <c r="B593" s="9">
        <v>81</v>
      </c>
      <c r="C593" s="9">
        <v>58</v>
      </c>
      <c r="D593" s="9" t="s">
        <v>1807</v>
      </c>
      <c r="E593" s="9">
        <v>33</v>
      </c>
      <c r="F593" s="9" t="s">
        <v>1901</v>
      </c>
      <c r="G593" s="10" t="s">
        <v>1001</v>
      </c>
      <c r="H593" s="8" t="s">
        <v>18</v>
      </c>
      <c r="I593" s="12">
        <v>250000</v>
      </c>
      <c r="J593" s="15" t="s">
        <v>46</v>
      </c>
      <c r="K593" s="9" t="s">
        <v>266</v>
      </c>
      <c r="L593" s="9" t="s">
        <v>1902</v>
      </c>
      <c r="M593" s="5" t="str">
        <f>_xlfn.XLOOKUP(N593,enums!$C:$C,enums!$B:$B,"")</f>
        <v>经典跑车</v>
      </c>
      <c r="N593" s="6" t="s">
        <v>261</v>
      </c>
    </row>
    <row r="594" ht="33" spans="1:14">
      <c r="A594" s="8" t="s">
        <v>1903</v>
      </c>
      <c r="B594" s="9">
        <v>81</v>
      </c>
      <c r="C594" s="9">
        <v>58</v>
      </c>
      <c r="D594" s="9" t="s">
        <v>1807</v>
      </c>
      <c r="E594" s="9">
        <v>34</v>
      </c>
      <c r="F594" s="9" t="s">
        <v>1904</v>
      </c>
      <c r="G594" s="10" t="s">
        <v>486</v>
      </c>
      <c r="H594" s="8" t="s">
        <v>1905</v>
      </c>
      <c r="I594" s="12">
        <v>1000000</v>
      </c>
      <c r="J594" s="9" t="s">
        <v>804</v>
      </c>
      <c r="K594" s="9" t="s">
        <v>266</v>
      </c>
      <c r="L594" s="9" t="s">
        <v>1906</v>
      </c>
      <c r="M594" s="5" t="str">
        <f>_xlfn.XLOOKUP(N594,enums!$C:$C,enums!$B:$B,"")</f>
        <v>稀有经典车</v>
      </c>
      <c r="N594" s="6" t="s">
        <v>102</v>
      </c>
    </row>
    <row r="595" ht="49.5" spans="1:14">
      <c r="A595" s="8" t="s">
        <v>1907</v>
      </c>
      <c r="B595" s="9">
        <v>81</v>
      </c>
      <c r="C595" s="9">
        <v>58</v>
      </c>
      <c r="D595" s="9" t="s">
        <v>1807</v>
      </c>
      <c r="E595" s="9">
        <v>35</v>
      </c>
      <c r="F595" s="9" t="s">
        <v>1908</v>
      </c>
      <c r="G595" s="10" t="s">
        <v>96</v>
      </c>
      <c r="H595" s="8" t="s">
        <v>1909</v>
      </c>
      <c r="I595" s="12">
        <v>250000</v>
      </c>
      <c r="J595" s="14" t="s">
        <v>39</v>
      </c>
      <c r="K595" s="9" t="s">
        <v>266</v>
      </c>
      <c r="L595" s="9" t="s">
        <v>1910</v>
      </c>
      <c r="M595" s="5" t="str">
        <f>_xlfn.XLOOKUP(N595,enums!$C:$C,enums!$B:$B,"")</f>
        <v>经典跑车</v>
      </c>
      <c r="N595" s="6" t="s">
        <v>261</v>
      </c>
    </row>
    <row r="596" ht="33" spans="1:14">
      <c r="A596" s="8" t="s">
        <v>1911</v>
      </c>
      <c r="B596" s="9">
        <v>81</v>
      </c>
      <c r="C596" s="9">
        <v>58</v>
      </c>
      <c r="D596" s="9" t="s">
        <v>1807</v>
      </c>
      <c r="E596" s="9">
        <v>36</v>
      </c>
      <c r="F596" s="9" t="s">
        <v>1912</v>
      </c>
      <c r="G596" s="10" t="s">
        <v>96</v>
      </c>
      <c r="H596" s="8" t="s">
        <v>1913</v>
      </c>
      <c r="I596" s="12">
        <v>35000</v>
      </c>
      <c r="J596" s="14" t="s">
        <v>39</v>
      </c>
      <c r="K596" s="9" t="s">
        <v>266</v>
      </c>
      <c r="L596" s="9" t="s">
        <v>1910</v>
      </c>
      <c r="M596" s="5" t="str">
        <f>_xlfn.XLOOKUP(N596,enums!$C:$C,enums!$B:$B,"")</f>
        <v>经典跑车</v>
      </c>
      <c r="N596" s="6" t="s">
        <v>261</v>
      </c>
    </row>
    <row r="597" spans="1:14">
      <c r="A597" s="8" t="s">
        <v>1914</v>
      </c>
      <c r="B597" s="9">
        <v>82</v>
      </c>
      <c r="C597" s="9">
        <v>41</v>
      </c>
      <c r="D597" s="9" t="s">
        <v>1915</v>
      </c>
      <c r="E597" s="9">
        <v>1</v>
      </c>
      <c r="F597" s="9" t="s">
        <v>1916</v>
      </c>
      <c r="G597" s="10" t="s">
        <v>198</v>
      </c>
      <c r="H597" s="8" t="s">
        <v>72</v>
      </c>
      <c r="I597" s="12">
        <v>250000</v>
      </c>
      <c r="J597" s="14" t="s">
        <v>39</v>
      </c>
      <c r="K597" s="9" t="s">
        <v>132</v>
      </c>
      <c r="L597" s="9" t="s">
        <v>1917</v>
      </c>
      <c r="M597" s="5" t="str">
        <f>_xlfn.XLOOKUP(N597,enums!$C:$C,enums!$B:$B,"")</f>
        <v>现代跑车</v>
      </c>
      <c r="N597" s="6" t="s">
        <v>74</v>
      </c>
    </row>
    <row r="598" spans="1:14">
      <c r="A598" s="8" t="s">
        <v>1918</v>
      </c>
      <c r="B598" s="9">
        <v>82</v>
      </c>
      <c r="C598" s="9">
        <v>41</v>
      </c>
      <c r="D598" s="9" t="s">
        <v>1915</v>
      </c>
      <c r="E598" s="9">
        <v>2</v>
      </c>
      <c r="F598" s="9" t="s">
        <v>1919</v>
      </c>
      <c r="G598" s="10" t="s">
        <v>348</v>
      </c>
      <c r="H598" s="8" t="s">
        <v>26</v>
      </c>
      <c r="I598" s="12">
        <v>115000</v>
      </c>
      <c r="J598" s="14" t="s">
        <v>39</v>
      </c>
      <c r="K598" s="9" t="s">
        <v>132</v>
      </c>
      <c r="L598" s="9" t="s">
        <v>286</v>
      </c>
      <c r="M598" s="5" t="str">
        <f>_xlfn.XLOOKUP(N598,enums!$C:$C,enums!$B:$B,"")</f>
        <v>复古跑车</v>
      </c>
      <c r="N598" s="6" t="s">
        <v>364</v>
      </c>
    </row>
    <row r="599" spans="1:14">
      <c r="A599" s="8" t="s">
        <v>1920</v>
      </c>
      <c r="B599" s="9">
        <v>82</v>
      </c>
      <c r="C599" s="9">
        <v>41</v>
      </c>
      <c r="D599" s="9" t="s">
        <v>1915</v>
      </c>
      <c r="E599" s="9">
        <v>3</v>
      </c>
      <c r="F599" s="9" t="s">
        <v>1921</v>
      </c>
      <c r="G599" s="10" t="s">
        <v>1358</v>
      </c>
      <c r="H599" s="8" t="s">
        <v>18</v>
      </c>
      <c r="I599" s="12">
        <v>750000</v>
      </c>
      <c r="J599" s="15" t="s">
        <v>46</v>
      </c>
      <c r="K599" s="9" t="s">
        <v>132</v>
      </c>
      <c r="L599" s="9" t="s">
        <v>632</v>
      </c>
      <c r="M599" s="5" t="str">
        <f>_xlfn.XLOOKUP(N599,enums!$C:$C,enums!$B:$B,"")</f>
        <v>复古超级轿车</v>
      </c>
      <c r="N599" s="6" t="s">
        <v>378</v>
      </c>
    </row>
    <row r="600" spans="1:14">
      <c r="A600" s="8" t="s">
        <v>1922</v>
      </c>
      <c r="B600" s="9">
        <v>83</v>
      </c>
      <c r="C600" s="9">
        <v>42</v>
      </c>
      <c r="D600" s="9" t="s">
        <v>1923</v>
      </c>
      <c r="E600" s="9">
        <v>1</v>
      </c>
      <c r="F600" s="9" t="s">
        <v>1924</v>
      </c>
      <c r="G600" s="10" t="s">
        <v>114</v>
      </c>
      <c r="H600" s="8" t="s">
        <v>26</v>
      </c>
      <c r="I600" s="12">
        <v>150000</v>
      </c>
      <c r="J600" s="15" t="s">
        <v>46</v>
      </c>
      <c r="K600" s="9" t="s">
        <v>132</v>
      </c>
      <c r="L600" s="9" t="s">
        <v>141</v>
      </c>
      <c r="M600" s="5" t="str">
        <f>_xlfn.XLOOKUP(N600,enums!$C:$C,enums!$B:$B,"")</f>
        <v>极限赛道玩具</v>
      </c>
      <c r="N600" s="6" t="s">
        <v>127</v>
      </c>
    </row>
    <row r="601" ht="33" spans="1:14">
      <c r="A601" s="8" t="s">
        <v>1925</v>
      </c>
      <c r="B601" s="9">
        <v>84</v>
      </c>
      <c r="C601" s="9">
        <v>55</v>
      </c>
      <c r="D601" s="9" t="s">
        <v>1926</v>
      </c>
      <c r="E601" s="9">
        <v>1</v>
      </c>
      <c r="F601" s="9" t="s">
        <v>1927</v>
      </c>
      <c r="G601" s="10" t="s">
        <v>44</v>
      </c>
      <c r="H601" s="8" t="s">
        <v>26</v>
      </c>
      <c r="I601" s="12">
        <v>35000</v>
      </c>
      <c r="J601" s="14" t="s">
        <v>39</v>
      </c>
      <c r="K601" s="9" t="s">
        <v>125</v>
      </c>
      <c r="L601" s="9" t="s">
        <v>530</v>
      </c>
      <c r="M601" s="5" t="str">
        <f>_xlfn.XLOOKUP(N601,enums!$C:$C,enums!$B:$B,"")</f>
        <v>超高性能掀背车</v>
      </c>
      <c r="N601" s="6" t="s">
        <v>226</v>
      </c>
    </row>
    <row r="602" ht="33" spans="1:14">
      <c r="A602" s="8" t="s">
        <v>1928</v>
      </c>
      <c r="B602" s="9">
        <v>84</v>
      </c>
      <c r="C602" s="9">
        <v>55</v>
      </c>
      <c r="D602" s="9" t="s">
        <v>1926</v>
      </c>
      <c r="E602" s="9">
        <v>2</v>
      </c>
      <c r="F602" s="9" t="s">
        <v>1929</v>
      </c>
      <c r="G602" s="10" t="s">
        <v>61</v>
      </c>
      <c r="H602" s="8" t="s">
        <v>38</v>
      </c>
      <c r="I602" s="12">
        <v>29000</v>
      </c>
      <c r="J602" s="13" t="s">
        <v>19</v>
      </c>
      <c r="K602" s="9" t="s">
        <v>125</v>
      </c>
      <c r="L602" s="9" t="s">
        <v>333</v>
      </c>
      <c r="M602" s="5" t="str">
        <f>_xlfn.XLOOKUP(N602,enums!$C:$C,enums!$B:$B,"")</f>
        <v>超高性能掀背车</v>
      </c>
      <c r="N602" s="6" t="s">
        <v>226</v>
      </c>
    </row>
    <row r="603" ht="33" spans="1:14">
      <c r="A603" s="8" t="s">
        <v>1930</v>
      </c>
      <c r="B603" s="9">
        <v>84</v>
      </c>
      <c r="C603" s="9">
        <v>55</v>
      </c>
      <c r="D603" s="9" t="s">
        <v>1926</v>
      </c>
      <c r="E603" s="9">
        <v>3</v>
      </c>
      <c r="F603" s="9" t="s">
        <v>1931</v>
      </c>
      <c r="G603" s="10" t="s">
        <v>67</v>
      </c>
      <c r="H603" s="8" t="s">
        <v>26</v>
      </c>
      <c r="I603" s="12">
        <v>150000</v>
      </c>
      <c r="J603" s="15" t="s">
        <v>46</v>
      </c>
      <c r="K603" s="9" t="s">
        <v>125</v>
      </c>
      <c r="L603" s="9" t="s">
        <v>1331</v>
      </c>
      <c r="M603" s="5" t="str">
        <f>_xlfn.XLOOKUP(N603,enums!$C:$C,enums!$B:$B,"")</f>
        <v>拉力赛怪物</v>
      </c>
      <c r="N603" s="17" t="s">
        <v>251</v>
      </c>
    </row>
    <row r="604" ht="33" spans="1:14">
      <c r="A604" s="8" t="s">
        <v>1932</v>
      </c>
      <c r="B604" s="9">
        <v>84</v>
      </c>
      <c r="C604" s="9">
        <v>55</v>
      </c>
      <c r="D604" s="9" t="s">
        <v>1926</v>
      </c>
      <c r="E604" s="9">
        <v>4</v>
      </c>
      <c r="F604" s="9" t="s">
        <v>1933</v>
      </c>
      <c r="G604" s="10" t="s">
        <v>71</v>
      </c>
      <c r="H604" s="8" t="s">
        <v>26</v>
      </c>
      <c r="I604" s="12">
        <v>27000</v>
      </c>
      <c r="J604" s="13" t="s">
        <v>19</v>
      </c>
      <c r="K604" s="9" t="s">
        <v>125</v>
      </c>
      <c r="L604" s="9" t="s">
        <v>711</v>
      </c>
      <c r="M604" s="5" t="str">
        <f>_xlfn.XLOOKUP(N604,enums!$C:$C,enums!$B:$B,"")</f>
        <v>超高性能掀背车</v>
      </c>
      <c r="N604" s="6" t="s">
        <v>226</v>
      </c>
    </row>
    <row r="605" ht="33" spans="1:14">
      <c r="A605" s="8" t="s">
        <v>1934</v>
      </c>
      <c r="B605" s="9">
        <v>84</v>
      </c>
      <c r="C605" s="9">
        <v>55</v>
      </c>
      <c r="D605" s="9" t="s">
        <v>1926</v>
      </c>
      <c r="E605" s="9">
        <v>5</v>
      </c>
      <c r="F605" s="9" t="s">
        <v>1935</v>
      </c>
      <c r="G605" s="10" t="s">
        <v>221</v>
      </c>
      <c r="H605" s="8" t="s">
        <v>26</v>
      </c>
      <c r="I605" s="12">
        <v>15000</v>
      </c>
      <c r="J605" s="14" t="s">
        <v>39</v>
      </c>
      <c r="K605" s="9" t="s">
        <v>125</v>
      </c>
      <c r="L605" s="9" t="s">
        <v>530</v>
      </c>
      <c r="M605" s="5" t="str">
        <f>_xlfn.XLOOKUP(N605,enums!$C:$C,enums!$B:$B,"")</f>
        <v>高性能掀背车</v>
      </c>
      <c r="N605" s="6" t="s">
        <v>22</v>
      </c>
    </row>
    <row r="606" ht="33" spans="1:14">
      <c r="A606" s="8" t="s">
        <v>1936</v>
      </c>
      <c r="B606" s="9">
        <v>84</v>
      </c>
      <c r="C606" s="9">
        <v>55</v>
      </c>
      <c r="D606" s="9" t="s">
        <v>1926</v>
      </c>
      <c r="E606" s="9">
        <v>6</v>
      </c>
      <c r="F606" s="9" t="s">
        <v>1937</v>
      </c>
      <c r="G606" s="10" t="s">
        <v>229</v>
      </c>
      <c r="H606" s="8" t="s">
        <v>26</v>
      </c>
      <c r="I606" s="12">
        <v>20000</v>
      </c>
      <c r="J606" s="14" t="s">
        <v>39</v>
      </c>
      <c r="K606" s="9" t="s">
        <v>125</v>
      </c>
      <c r="L606" s="9" t="s">
        <v>255</v>
      </c>
      <c r="M606" s="5" t="str">
        <f>_xlfn.XLOOKUP(N606,enums!$C:$C,enums!$B:$B,"")</f>
        <v>超高性能掀背车</v>
      </c>
      <c r="N606" s="6" t="s">
        <v>226</v>
      </c>
    </row>
    <row r="607" ht="33" spans="1:14">
      <c r="A607" s="8" t="s">
        <v>1938</v>
      </c>
      <c r="B607" s="9">
        <v>84</v>
      </c>
      <c r="C607" s="9">
        <v>55</v>
      </c>
      <c r="D607" s="9" t="s">
        <v>1926</v>
      </c>
      <c r="E607" s="9">
        <v>7</v>
      </c>
      <c r="F607" s="9" t="s">
        <v>1939</v>
      </c>
      <c r="G607" s="10" t="s">
        <v>359</v>
      </c>
      <c r="H607" s="8" t="s">
        <v>26</v>
      </c>
      <c r="I607" s="12">
        <v>30000</v>
      </c>
      <c r="J607" s="13" t="s">
        <v>19</v>
      </c>
      <c r="K607" s="9" t="s">
        <v>125</v>
      </c>
      <c r="L607" s="9" t="s">
        <v>1940</v>
      </c>
      <c r="M607" s="5" t="str">
        <f>_xlfn.XLOOKUP(N607,enums!$C:$C,enums!$B:$B,"")</f>
        <v>复古高性能掀背车</v>
      </c>
      <c r="N607" s="6" t="s">
        <v>53</v>
      </c>
    </row>
    <row r="608" ht="33" spans="1:14">
      <c r="A608" s="8" t="s">
        <v>1941</v>
      </c>
      <c r="B608" s="9">
        <v>84</v>
      </c>
      <c r="C608" s="9">
        <v>55</v>
      </c>
      <c r="D608" s="9" t="s">
        <v>1926</v>
      </c>
      <c r="E608" s="9">
        <v>8</v>
      </c>
      <c r="F608" s="9" t="s">
        <v>1942</v>
      </c>
      <c r="G608" s="10" t="s">
        <v>82</v>
      </c>
      <c r="H608" s="8" t="s">
        <v>26</v>
      </c>
      <c r="I608" s="12">
        <v>22000</v>
      </c>
      <c r="J608" s="13" t="s">
        <v>19</v>
      </c>
      <c r="K608" s="9" t="s">
        <v>125</v>
      </c>
      <c r="L608" s="9" t="s">
        <v>1943</v>
      </c>
      <c r="M608" s="5" t="str">
        <f>_xlfn.XLOOKUP(N608,enums!$C:$C,enums!$B:$B,"")</f>
        <v>复古高性能掀背车</v>
      </c>
      <c r="N608" s="6" t="s">
        <v>53</v>
      </c>
    </row>
    <row r="609" ht="33" spans="1:14">
      <c r="A609" s="8" t="s">
        <v>1944</v>
      </c>
      <c r="B609" s="9">
        <v>84</v>
      </c>
      <c r="C609" s="9">
        <v>55</v>
      </c>
      <c r="D609" s="9" t="s">
        <v>1926</v>
      </c>
      <c r="E609" s="9">
        <v>9</v>
      </c>
      <c r="F609" s="9" t="s">
        <v>1945</v>
      </c>
      <c r="G609" s="10" t="s">
        <v>674</v>
      </c>
      <c r="H609" s="8" t="s">
        <v>18</v>
      </c>
      <c r="I609" s="12">
        <v>250000</v>
      </c>
      <c r="J609" s="14" t="s">
        <v>39</v>
      </c>
      <c r="K609" s="9" t="s">
        <v>125</v>
      </c>
      <c r="L609" s="9" t="s">
        <v>1946</v>
      </c>
      <c r="M609" s="5" t="str">
        <f>_xlfn.XLOOKUP(N609,enums!$C:$C,enums!$B:$B,"")</f>
        <v>复古拉力赛车</v>
      </c>
      <c r="N609" s="6" t="s">
        <v>256</v>
      </c>
    </row>
    <row r="610" ht="33" spans="1:14">
      <c r="A610" s="8" t="s">
        <v>1947</v>
      </c>
      <c r="B610" s="9">
        <v>84</v>
      </c>
      <c r="C610" s="9">
        <v>55</v>
      </c>
      <c r="D610" s="9" t="s">
        <v>1926</v>
      </c>
      <c r="E610" s="9">
        <v>10</v>
      </c>
      <c r="F610" s="9" t="s">
        <v>1948</v>
      </c>
      <c r="G610" s="10" t="s">
        <v>254</v>
      </c>
      <c r="H610" s="8" t="s">
        <v>26</v>
      </c>
      <c r="I610" s="12">
        <v>18000</v>
      </c>
      <c r="J610" s="13" t="s">
        <v>19</v>
      </c>
      <c r="K610" s="9" t="s">
        <v>125</v>
      </c>
      <c r="L610" s="9" t="s">
        <v>1949</v>
      </c>
      <c r="M610" s="5" t="str">
        <f>_xlfn.XLOOKUP(N610,enums!$C:$C,enums!$B:$B,"")</f>
        <v>复古高性能掀背车</v>
      </c>
      <c r="N610" s="6" t="s">
        <v>53</v>
      </c>
    </row>
    <row r="611" ht="33" spans="1:14">
      <c r="A611" s="8" t="s">
        <v>1950</v>
      </c>
      <c r="B611" s="9">
        <v>84</v>
      </c>
      <c r="C611" s="9">
        <v>55</v>
      </c>
      <c r="D611" s="9" t="s">
        <v>1926</v>
      </c>
      <c r="E611" s="9">
        <v>11</v>
      </c>
      <c r="F611" s="9" t="s">
        <v>1951</v>
      </c>
      <c r="G611" s="10" t="s">
        <v>540</v>
      </c>
      <c r="H611" s="8" t="s">
        <v>26</v>
      </c>
      <c r="I611" s="12">
        <v>16000</v>
      </c>
      <c r="J611" s="15" t="s">
        <v>46</v>
      </c>
      <c r="K611" s="9" t="s">
        <v>125</v>
      </c>
      <c r="L611" s="9" t="s">
        <v>32</v>
      </c>
      <c r="M611" s="5" t="str">
        <f>_xlfn.XLOOKUP(N611,enums!$C:$C,enums!$B:$B,"")</f>
        <v>多功能英雄车</v>
      </c>
      <c r="N611" s="6" t="s">
        <v>478</v>
      </c>
    </row>
    <row r="612" ht="33" spans="1:14">
      <c r="A612" s="8" t="s">
        <v>1952</v>
      </c>
      <c r="B612" s="9">
        <v>84</v>
      </c>
      <c r="C612" s="9">
        <v>55</v>
      </c>
      <c r="D612" s="9" t="s">
        <v>1926</v>
      </c>
      <c r="E612" s="9">
        <v>12</v>
      </c>
      <c r="F612" s="9" t="s">
        <v>1953</v>
      </c>
      <c r="G612" s="10" t="s">
        <v>486</v>
      </c>
      <c r="H612" s="8" t="s">
        <v>26</v>
      </c>
      <c r="I612" s="12">
        <v>35000</v>
      </c>
      <c r="J612" s="14" t="s">
        <v>39</v>
      </c>
      <c r="K612" s="9" t="s">
        <v>125</v>
      </c>
      <c r="L612" s="9" t="s">
        <v>1954</v>
      </c>
      <c r="M612" s="5" t="str">
        <f>_xlfn.XLOOKUP(N612,enums!$C:$C,enums!$B:$B,"")</f>
        <v>沙滩车</v>
      </c>
      <c r="N612" s="6" t="s">
        <v>1375</v>
      </c>
    </row>
    <row r="613" ht="33" spans="1:14">
      <c r="A613" s="8" t="s">
        <v>1955</v>
      </c>
      <c r="B613" s="9">
        <v>84</v>
      </c>
      <c r="C613" s="9">
        <v>55</v>
      </c>
      <c r="D613" s="9" t="s">
        <v>1926</v>
      </c>
      <c r="E613" s="9">
        <v>13</v>
      </c>
      <c r="F613" s="9" t="s">
        <v>1956</v>
      </c>
      <c r="G613" s="10" t="s">
        <v>1957</v>
      </c>
      <c r="H613" s="8" t="s">
        <v>38</v>
      </c>
      <c r="I613" s="12">
        <v>17000</v>
      </c>
      <c r="J613" s="16" t="s">
        <v>91</v>
      </c>
      <c r="K613" s="9" t="s">
        <v>125</v>
      </c>
      <c r="L613" s="9" t="s">
        <v>32</v>
      </c>
      <c r="M613" s="5" t="str">
        <f>_xlfn.XLOOKUP(N613,enums!$C:$C,enums!$B:$B,"")</f>
        <v>狂热跑车</v>
      </c>
      <c r="N613" s="6" t="s">
        <v>33</v>
      </c>
    </row>
    <row r="614" ht="49.5" spans="1:14">
      <c r="A614" s="8" t="s">
        <v>1958</v>
      </c>
      <c r="B614" s="9">
        <v>84</v>
      </c>
      <c r="C614" s="9">
        <v>55</v>
      </c>
      <c r="D614" s="9" t="s">
        <v>1926</v>
      </c>
      <c r="E614" s="9">
        <v>14</v>
      </c>
      <c r="F614" s="9" t="s">
        <v>1959</v>
      </c>
      <c r="G614" s="10" t="s">
        <v>1957</v>
      </c>
      <c r="H614" s="8" t="s">
        <v>1960</v>
      </c>
      <c r="I614" s="12">
        <v>178000</v>
      </c>
      <c r="J614" s="14" t="s">
        <v>39</v>
      </c>
      <c r="K614" s="9" t="s">
        <v>125</v>
      </c>
      <c r="L614" s="9" t="s">
        <v>32</v>
      </c>
      <c r="M614" s="5" t="str">
        <f>_xlfn.XLOOKUP(N614,enums!$C:$C,enums!$B:$B,"")</f>
        <v>狂热跑车</v>
      </c>
      <c r="N614" s="6" t="s">
        <v>33</v>
      </c>
    </row>
    <row r="615" ht="33" spans="1:14">
      <c r="A615" s="8" t="s">
        <v>1961</v>
      </c>
      <c r="B615" s="9">
        <v>85</v>
      </c>
      <c r="C615" s="9">
        <v>84</v>
      </c>
      <c r="D615" s="9" t="s">
        <v>1962</v>
      </c>
      <c r="E615" s="9">
        <v>1</v>
      </c>
      <c r="F615" s="9" t="s">
        <v>1963</v>
      </c>
      <c r="G615" s="10" t="s">
        <v>254</v>
      </c>
      <c r="H615" s="8" t="s">
        <v>26</v>
      </c>
      <c r="I615" s="12">
        <v>30000</v>
      </c>
      <c r="J615" s="13" t="s">
        <v>19</v>
      </c>
      <c r="K615" s="9" t="s">
        <v>1071</v>
      </c>
      <c r="L615" s="9" t="s">
        <v>890</v>
      </c>
      <c r="M615" s="5" t="str">
        <f>_xlfn.XLOOKUP(N615,enums!$C:$C,enums!$B:$B,"")</f>
        <v>经典拉力赛车</v>
      </c>
      <c r="N615" s="6" t="s">
        <v>28</v>
      </c>
    </row>
    <row r="616" ht="33" spans="1:14">
      <c r="A616" s="8" t="s">
        <v>1964</v>
      </c>
      <c r="B616" s="9">
        <v>86</v>
      </c>
      <c r="C616" s="9">
        <v>85</v>
      </c>
      <c r="D616" s="9" t="s">
        <v>1965</v>
      </c>
      <c r="E616" s="9">
        <v>1</v>
      </c>
      <c r="F616" s="9" t="s">
        <v>1966</v>
      </c>
      <c r="G616" s="10" t="s">
        <v>44</v>
      </c>
      <c r="H616" s="8" t="s">
        <v>38</v>
      </c>
      <c r="I616" s="12">
        <v>5000</v>
      </c>
      <c r="J616" s="14" t="s">
        <v>39</v>
      </c>
      <c r="K616" s="9" t="s">
        <v>1967</v>
      </c>
      <c r="L616" s="9" t="s">
        <v>32</v>
      </c>
      <c r="M616" s="5" t="str">
        <f>_xlfn.XLOOKUP(N616,enums!$C:$C,enums!$B:$B,"")</f>
        <v>高性能掀背车</v>
      </c>
      <c r="N616" s="6" t="s">
        <v>22</v>
      </c>
    </row>
    <row r="617" ht="33" spans="1:14">
      <c r="A617" s="8" t="s">
        <v>1968</v>
      </c>
      <c r="B617" s="9">
        <v>86</v>
      </c>
      <c r="C617" s="9">
        <v>85</v>
      </c>
      <c r="D617" s="9" t="s">
        <v>1965</v>
      </c>
      <c r="E617" s="9">
        <v>2</v>
      </c>
      <c r="F617" s="9" t="s">
        <v>1969</v>
      </c>
      <c r="G617" s="10" t="s">
        <v>191</v>
      </c>
      <c r="H617" s="8" t="s">
        <v>124</v>
      </c>
      <c r="I617" s="12">
        <v>500000</v>
      </c>
      <c r="J617" s="18" t="s">
        <v>290</v>
      </c>
      <c r="K617" s="9" t="s">
        <v>1967</v>
      </c>
      <c r="L617" s="9" t="s">
        <v>304</v>
      </c>
      <c r="M617" s="5" t="str">
        <f>_xlfn.XLOOKUP(N617,enums!$C:$C,enums!$B:$B,"")</f>
        <v>赛道玩具</v>
      </c>
      <c r="N617" s="17" t="s">
        <v>273</v>
      </c>
    </row>
    <row r="618" ht="33" spans="1:14">
      <c r="A618" s="8" t="s">
        <v>1970</v>
      </c>
      <c r="B618" s="9">
        <v>86</v>
      </c>
      <c r="C618" s="9">
        <v>85</v>
      </c>
      <c r="D618" s="9" t="s">
        <v>1965</v>
      </c>
      <c r="E618" s="9">
        <v>3</v>
      </c>
      <c r="F618" s="9" t="s">
        <v>1971</v>
      </c>
      <c r="G618" s="10" t="s">
        <v>136</v>
      </c>
      <c r="H618" s="8" t="s">
        <v>26</v>
      </c>
      <c r="I618" s="12">
        <v>2000</v>
      </c>
      <c r="J618" s="14" t="s">
        <v>39</v>
      </c>
      <c r="K618" s="9" t="s">
        <v>1967</v>
      </c>
      <c r="L618" s="9" t="s">
        <v>1972</v>
      </c>
      <c r="M618" s="5" t="str">
        <f>_xlfn.XLOOKUP(N618,enums!$C:$C,enums!$B:$B,"")</f>
        <v>多功能英雄车</v>
      </c>
      <c r="N618" s="6" t="s">
        <v>478</v>
      </c>
    </row>
    <row r="619" spans="1:14">
      <c r="A619" s="8" t="s">
        <v>1973</v>
      </c>
      <c r="B619" s="9">
        <v>87</v>
      </c>
      <c r="C619" s="9">
        <v>43</v>
      </c>
      <c r="D619" s="9" t="s">
        <v>1974</v>
      </c>
      <c r="E619" s="9">
        <v>1</v>
      </c>
      <c r="F619" s="9" t="s">
        <v>1975</v>
      </c>
      <c r="G619" s="10" t="s">
        <v>123</v>
      </c>
      <c r="H619" s="8" t="s">
        <v>26</v>
      </c>
      <c r="I619" s="12">
        <v>1200000</v>
      </c>
      <c r="J619" s="16" t="s">
        <v>91</v>
      </c>
      <c r="K619" s="9" t="s">
        <v>1976</v>
      </c>
      <c r="L619" s="9" t="s">
        <v>1977</v>
      </c>
      <c r="M619" s="5" t="str">
        <f>_xlfn.XLOOKUP(N619,enums!$C:$C,enums!$B:$B,"")</f>
        <v>顶级超跑</v>
      </c>
      <c r="N619" s="6" t="s">
        <v>142</v>
      </c>
    </row>
  </sheetData>
  <conditionalFormatting sqref="C2:C619">
    <cfRule type="containsText" dxfId="0" priority="8" stopIfTrue="1" operator="between" text="R">
      <formula>NOT(ISERROR(SEARCH("R",C2)))</formula>
    </cfRule>
    <cfRule type="containsText" dxfId="1" priority="9" stopIfTrue="1" operator="between" text="S2">
      <formula>NOT(ISERROR(SEARCH("S2",C2)))</formula>
    </cfRule>
    <cfRule type="containsText" dxfId="2" priority="10" stopIfTrue="1" operator="between" text="S1">
      <formula>NOT(ISERROR(SEARCH("S1",C2)))</formula>
    </cfRule>
    <cfRule type="containsText" dxfId="3" priority="11" stopIfTrue="1" operator="between" text="A">
      <formula>NOT(ISERROR(SEARCH("A",C2)))</formula>
    </cfRule>
    <cfRule type="containsText" dxfId="4" priority="12" stopIfTrue="1" operator="between" text="B">
      <formula>NOT(ISERROR(SEARCH("B",C2)))</formula>
    </cfRule>
    <cfRule type="containsText" dxfId="5" priority="13" stopIfTrue="1" operator="between" text="C">
      <formula>NOT(ISERROR(SEARCH("C",C2)))</formula>
    </cfRule>
    <cfRule type="containsText" dxfId="6" priority="14" stopIfTrue="1" operator="between" text="D">
      <formula>NOT(ISERROR(SEARCH("D",C2)))</formula>
    </cfRule>
  </conditionalFormatting>
  <conditionalFormatting sqref="E2:E619">
    <cfRule type="containsText" dxfId="0" priority="1" stopIfTrue="1" operator="between" text="R">
      <formula>NOT(ISERROR(SEARCH("R",E2)))</formula>
    </cfRule>
    <cfRule type="containsText" dxfId="1" priority="2" stopIfTrue="1" operator="between" text="S2">
      <formula>NOT(ISERROR(SEARCH("S2",E2)))</formula>
    </cfRule>
    <cfRule type="containsText" dxfId="2" priority="3" stopIfTrue="1" operator="between" text="S1">
      <formula>NOT(ISERROR(SEARCH("S1",E2)))</formula>
    </cfRule>
    <cfRule type="containsText" dxfId="3" priority="4" stopIfTrue="1" operator="between" text="A">
      <formula>NOT(ISERROR(SEARCH("A",E2)))</formula>
    </cfRule>
    <cfRule type="containsText" dxfId="4" priority="5" stopIfTrue="1" operator="between" text="B">
      <formula>NOT(ISERROR(SEARCH("B",E2)))</formula>
    </cfRule>
    <cfRule type="containsText" dxfId="5" priority="6" stopIfTrue="1" operator="between" text="C">
      <formula>NOT(ISERROR(SEARCH("C",E2)))</formula>
    </cfRule>
    <cfRule type="containsText" dxfId="6" priority="7" stopIfTrue="1" operator="between" text="D">
      <formula>NOT(ISERROR(SEARCH("D",E2)))</formula>
    </cfRule>
  </conditionalFormatting>
  <conditionalFormatting sqref="H$1:H$1048576">
    <cfRule type="containsText" dxfId="3" priority="15" stopIfTrue="1" operator="between" text="季节赛">
      <formula>NOT(ISERROR(SEARCH("季节赛",H1)))</formula>
    </cfRule>
  </conditionalFormatting>
  <conditionalFormatting sqref="B2:B619 L2:L619">
    <cfRule type="containsText" dxfId="0" priority="16" stopIfTrue="1" operator="between" text="R">
      <formula>NOT(ISERROR(SEARCH("R",B2)))</formula>
    </cfRule>
    <cfRule type="containsText" dxfId="1" priority="17" stopIfTrue="1" operator="between" text="S2">
      <formula>NOT(ISERROR(SEARCH("S2",B2)))</formula>
    </cfRule>
    <cfRule type="containsText" dxfId="2" priority="18" stopIfTrue="1" operator="between" text="S1">
      <formula>NOT(ISERROR(SEARCH("S1",B2)))</formula>
    </cfRule>
    <cfRule type="containsText" dxfId="3" priority="19" stopIfTrue="1" operator="between" text="A">
      <formula>NOT(ISERROR(SEARCH("A",B2)))</formula>
    </cfRule>
    <cfRule type="containsText" dxfId="4" priority="20" stopIfTrue="1" operator="between" text="B">
      <formula>NOT(ISERROR(SEARCH("B",B2)))</formula>
    </cfRule>
    <cfRule type="containsText" dxfId="5" priority="21" stopIfTrue="1" operator="between" text="C">
      <formula>NOT(ISERROR(SEARCH("C",B2)))</formula>
    </cfRule>
    <cfRule type="containsText" dxfId="6" priority="22" stopIfTrue="1" operator="between" text="D">
      <formula>NOT(ISERROR(SEARCH("D",B2)))</formula>
    </cfRule>
  </conditionalFormatting>
  <dataValidations count="1">
    <dataValidation allowBlank="1" showInputMessage="1" showErrorMessage="1" sqref="M2:M1048576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workbookViewId="0">
      <selection activeCell="C30" sqref="C30"/>
    </sheetView>
  </sheetViews>
  <sheetFormatPr defaultColWidth="9" defaultRowHeight="13.5" outlineLevelCol="2"/>
  <cols>
    <col min="1" max="1" width="15.75" customWidth="1"/>
    <col min="2" max="2" width="19.125" customWidth="1"/>
    <col min="3" max="3" width="23.625" customWidth="1"/>
  </cols>
  <sheetData>
    <row r="1" ht="16.5" spans="1:3">
      <c r="A1" s="1" t="s">
        <v>1978</v>
      </c>
      <c r="B1" s="2" t="s">
        <v>12</v>
      </c>
      <c r="C1" s="2" t="s">
        <v>13</v>
      </c>
    </row>
    <row r="2" ht="16.5" spans="1:3">
      <c r="A2" s="1">
        <v>1</v>
      </c>
      <c r="B2" s="2" t="s">
        <v>1979</v>
      </c>
      <c r="C2" s="2" t="s">
        <v>1375</v>
      </c>
    </row>
    <row r="3" ht="16.5" spans="1:3">
      <c r="A3" s="1">
        <v>2</v>
      </c>
      <c r="B3" s="2" t="s">
        <v>1980</v>
      </c>
      <c r="C3" s="2" t="s">
        <v>466</v>
      </c>
    </row>
    <row r="4" ht="16.5" spans="1:3">
      <c r="A4" s="1">
        <v>3</v>
      </c>
      <c r="B4" s="2" t="s">
        <v>1981</v>
      </c>
      <c r="C4" s="2" t="s">
        <v>93</v>
      </c>
    </row>
    <row r="5" ht="16.5" spans="1:3">
      <c r="A5" s="1">
        <v>4</v>
      </c>
      <c r="B5" s="2" t="s">
        <v>1982</v>
      </c>
      <c r="C5" s="2" t="s">
        <v>28</v>
      </c>
    </row>
    <row r="6" ht="16.5" spans="1:3">
      <c r="A6" s="1">
        <v>5</v>
      </c>
      <c r="B6" s="2" t="s">
        <v>1983</v>
      </c>
      <c r="C6" s="2" t="s">
        <v>261</v>
      </c>
    </row>
    <row r="7" ht="16.5" spans="1:3">
      <c r="A7" s="1">
        <v>6</v>
      </c>
      <c r="B7" s="2" t="s">
        <v>1984</v>
      </c>
      <c r="C7" s="2" t="s">
        <v>33</v>
      </c>
    </row>
    <row r="8" ht="16.5" spans="1:3">
      <c r="A8" s="1">
        <v>7</v>
      </c>
      <c r="B8" s="2" t="s">
        <v>1985</v>
      </c>
      <c r="C8" s="2" t="s">
        <v>527</v>
      </c>
    </row>
    <row r="9" ht="16.5" spans="1:3">
      <c r="A9" s="1">
        <v>8</v>
      </c>
      <c r="B9" s="2" t="s">
        <v>1986</v>
      </c>
      <c r="C9" s="2" t="s">
        <v>268</v>
      </c>
    </row>
    <row r="10" ht="16.5" spans="1:3">
      <c r="A10" s="1">
        <v>9</v>
      </c>
      <c r="B10" s="2" t="s">
        <v>1987</v>
      </c>
      <c r="C10" s="2" t="s">
        <v>127</v>
      </c>
    </row>
    <row r="11" ht="16.5" spans="1:3">
      <c r="A11" s="1">
        <v>10</v>
      </c>
      <c r="B11" s="2" t="s">
        <v>1988</v>
      </c>
      <c r="C11" s="2" t="s">
        <v>79</v>
      </c>
    </row>
    <row r="12" ht="16.5" spans="1:3">
      <c r="A12" s="1">
        <v>11</v>
      </c>
      <c r="B12" s="2" t="s">
        <v>1989</v>
      </c>
      <c r="C12" s="2" t="s">
        <v>22</v>
      </c>
    </row>
    <row r="13" ht="16.5" spans="1:3">
      <c r="A13" s="1">
        <v>12</v>
      </c>
      <c r="B13" s="2" t="s">
        <v>1990</v>
      </c>
      <c r="C13" s="2" t="s">
        <v>142</v>
      </c>
    </row>
    <row r="14" ht="16.5" spans="1:3">
      <c r="A14" s="1">
        <v>13</v>
      </c>
      <c r="B14" s="2" t="s">
        <v>1991</v>
      </c>
      <c r="C14" s="2" t="s">
        <v>396</v>
      </c>
    </row>
    <row r="15" ht="16.5" spans="1:3">
      <c r="A15" s="1">
        <v>14</v>
      </c>
      <c r="B15" s="2" t="s">
        <v>1992</v>
      </c>
      <c r="C15" s="2" t="s">
        <v>1403</v>
      </c>
    </row>
    <row r="16" ht="16.5" spans="1:3">
      <c r="A16" s="1">
        <v>15</v>
      </c>
      <c r="B16" s="2" t="s">
        <v>1993</v>
      </c>
      <c r="C16" s="2" t="s">
        <v>74</v>
      </c>
    </row>
    <row r="17" ht="16.5" spans="1:3">
      <c r="A17" s="1">
        <v>16</v>
      </c>
      <c r="B17" s="2" t="s">
        <v>1994</v>
      </c>
      <c r="C17" s="2" t="s">
        <v>64</v>
      </c>
    </row>
    <row r="18" ht="16.5" spans="1:3">
      <c r="A18" s="1">
        <v>17</v>
      </c>
      <c r="B18" s="2" t="s">
        <v>1995</v>
      </c>
      <c r="C18" s="2" t="s">
        <v>1996</v>
      </c>
    </row>
    <row r="19" ht="16.5" spans="1:3">
      <c r="A19" s="1">
        <v>18</v>
      </c>
      <c r="B19" s="2" t="s">
        <v>1997</v>
      </c>
      <c r="C19" s="2" t="s">
        <v>734</v>
      </c>
    </row>
    <row r="20" ht="16.5" spans="1:3">
      <c r="A20" s="1">
        <v>19</v>
      </c>
      <c r="B20" s="2" t="s">
        <v>1998</v>
      </c>
      <c r="C20" s="2" t="s">
        <v>430</v>
      </c>
    </row>
    <row r="21" ht="16.5" spans="1:3">
      <c r="A21" s="1">
        <v>20</v>
      </c>
      <c r="B21" s="2" t="s">
        <v>1999</v>
      </c>
      <c r="C21" s="2" t="s">
        <v>251</v>
      </c>
    </row>
    <row r="22" ht="16.5" spans="1:3">
      <c r="A22" s="1">
        <v>21</v>
      </c>
      <c r="B22" s="2" t="s">
        <v>2000</v>
      </c>
      <c r="C22" s="2" t="s">
        <v>102</v>
      </c>
    </row>
    <row r="23" ht="16.5" spans="1:3">
      <c r="A23" s="1">
        <v>22</v>
      </c>
      <c r="B23" s="2" t="s">
        <v>2001</v>
      </c>
      <c r="C23" s="2" t="s">
        <v>53</v>
      </c>
    </row>
    <row r="24" ht="16.5" spans="1:3">
      <c r="A24" s="1">
        <v>23</v>
      </c>
      <c r="B24" s="2" t="s">
        <v>2002</v>
      </c>
      <c r="C24" s="2" t="s">
        <v>391</v>
      </c>
    </row>
    <row r="25" ht="16.5" spans="1:3">
      <c r="A25" s="1">
        <v>24</v>
      </c>
      <c r="B25" s="2" t="s">
        <v>2003</v>
      </c>
      <c r="C25" s="2" t="s">
        <v>88</v>
      </c>
    </row>
    <row r="26" ht="16.5" spans="1:3">
      <c r="A26" s="1">
        <v>25</v>
      </c>
      <c r="B26" s="2" t="s">
        <v>2004</v>
      </c>
      <c r="C26" s="2" t="s">
        <v>256</v>
      </c>
    </row>
    <row r="27" ht="16.5" spans="1:3">
      <c r="A27" s="1">
        <v>26</v>
      </c>
      <c r="B27" s="2" t="s">
        <v>2005</v>
      </c>
      <c r="C27" s="2" t="s">
        <v>364</v>
      </c>
    </row>
    <row r="28" ht="16.5" spans="1:3">
      <c r="A28" s="1">
        <v>27</v>
      </c>
      <c r="B28" s="2" t="s">
        <v>2006</v>
      </c>
      <c r="C28" s="2" t="s">
        <v>2007</v>
      </c>
    </row>
    <row r="29" ht="16.5" spans="1:3">
      <c r="A29" s="1">
        <v>28</v>
      </c>
      <c r="B29" s="2" t="s">
        <v>2008</v>
      </c>
      <c r="C29" s="2" t="s">
        <v>84</v>
      </c>
    </row>
    <row r="30" ht="16.5" spans="1:3">
      <c r="A30" s="1">
        <v>29</v>
      </c>
      <c r="B30" s="2" t="s">
        <v>2009</v>
      </c>
      <c r="C30" s="2" t="s">
        <v>497</v>
      </c>
    </row>
    <row r="31" ht="16.5" spans="1:3">
      <c r="A31" s="1">
        <v>30</v>
      </c>
      <c r="B31" s="2" t="s">
        <v>2010</v>
      </c>
      <c r="C31" s="2" t="s">
        <v>150</v>
      </c>
    </row>
    <row r="32" ht="16.5" spans="1:3">
      <c r="A32" s="1">
        <v>31</v>
      </c>
      <c r="B32" s="2" t="s">
        <v>2011</v>
      </c>
      <c r="C32" s="2" t="s">
        <v>157</v>
      </c>
    </row>
    <row r="33" ht="16.5" spans="1:3">
      <c r="A33" s="1">
        <v>32</v>
      </c>
      <c r="B33" s="2" t="s">
        <v>2012</v>
      </c>
      <c r="C33" s="2" t="s">
        <v>226</v>
      </c>
    </row>
    <row r="34" ht="16.5" spans="1:3">
      <c r="A34" s="1">
        <v>33</v>
      </c>
      <c r="B34" s="2" t="s">
        <v>2013</v>
      </c>
      <c r="C34" s="2" t="s">
        <v>273</v>
      </c>
    </row>
    <row r="35" ht="16.5" spans="1:3">
      <c r="A35" s="1">
        <v>34</v>
      </c>
      <c r="B35" s="2" t="s">
        <v>2014</v>
      </c>
      <c r="C35" s="2" t="s">
        <v>412</v>
      </c>
    </row>
    <row r="36" ht="16.5" spans="1:3">
      <c r="A36" s="1">
        <v>35</v>
      </c>
      <c r="B36" s="2" t="s">
        <v>2015</v>
      </c>
      <c r="C36" s="2" t="s">
        <v>111</v>
      </c>
    </row>
    <row r="37" ht="16.5" spans="1:3">
      <c r="A37" s="1">
        <v>36</v>
      </c>
      <c r="B37" s="2" t="s">
        <v>2016</v>
      </c>
      <c r="C37" s="2" t="s">
        <v>107</v>
      </c>
    </row>
    <row r="38" ht="16.5" spans="1:3">
      <c r="A38" s="1">
        <v>37</v>
      </c>
      <c r="B38" s="2" t="s">
        <v>2017</v>
      </c>
      <c r="C38" s="2" t="s">
        <v>478</v>
      </c>
    </row>
    <row r="39" ht="16.5" spans="1:3">
      <c r="A39" s="1">
        <v>38</v>
      </c>
      <c r="B39" s="2" t="s">
        <v>2018</v>
      </c>
      <c r="C39" s="2" t="s">
        <v>2019</v>
      </c>
    </row>
    <row r="40" ht="16.5" spans="1:3">
      <c r="A40" s="1">
        <v>39</v>
      </c>
      <c r="B40" s="2" t="s">
        <v>2020</v>
      </c>
      <c r="C40" s="2" t="s">
        <v>2021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car_data</vt:lpstr>
      <vt:lpstr>enums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顾</cp:lastModifiedBy>
  <dcterms:created xsi:type="dcterms:W3CDTF">2023-05-12T11:15:00Z</dcterms:created>
  <dcterms:modified xsi:type="dcterms:W3CDTF">2026-05-24T13:23:20Z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5653FB896E5D45BA9D3560C4119552B8_12</vt:lpwstr>
  </property>
  <property fmtid="{D5CDD505-2E9C-101B-9397-08002B2CF9AE}" pid="4" name="KSOReadingLayout">
    <vt:bool>true</vt:bool>
  </property>
</Properties>
</file>